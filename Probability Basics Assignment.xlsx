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2e4e32c79d5415/Desktop/Hrushikesh/PW SKILLS ASSIGNMENTS/Statistics/"/>
    </mc:Choice>
  </mc:AlternateContent>
  <xr:revisionPtr revIDLastSave="203" documentId="8_{417197E2-4363-44CB-A0BE-40DFE169414D}" xr6:coauthVersionLast="47" xr6:coauthVersionMax="47" xr10:uidLastSave="{08132F21-BDB3-4B97-937A-DC06595C1F98}"/>
  <bookViews>
    <workbookView xWindow="-108" yWindow="-108" windowWidth="23256" windowHeight="12456" activeTab="1" xr2:uid="{D676C132-2359-4A90-A558-74B7C3017A45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8" l="1"/>
  <c r="F15" i="7"/>
  <c r="G9" i="6"/>
  <c r="D9" i="5"/>
  <c r="M9" i="3"/>
  <c r="I15" i="2"/>
  <c r="L17" i="1"/>
  <c r="L10" i="1"/>
</calcChain>
</file>

<file path=xl/sharedStrings.xml><?xml version="1.0" encoding="utf-8"?>
<sst xmlns="http://schemas.openxmlformats.org/spreadsheetml/2006/main" count="106" uniqueCount="82">
  <si>
    <t>Question:-</t>
  </si>
  <si>
    <t>A die is rolled. What is the probability of getting:</t>
  </si>
  <si>
    <t>(a) An even number</t>
  </si>
  <si>
    <t>(b) A number greater than 4</t>
  </si>
  <si>
    <t>Answer:-</t>
  </si>
  <si>
    <t>In a class of 50 students:</t>
  </si>
  <si>
    <t>20 like Mathematics (M)</t>
  </si>
  <si>
    <t>15 like Science (S)</t>
  </si>
  <si>
    <t>5 like both subjects</t>
  </si>
  <si>
    <t>A bag has 3 red and 2 blue balls. If one ball is drawn randomly and is red, what is the probability that the next ball is also red (without replacement)?</t>
  </si>
  <si>
    <t>The population of a school is divided into 60% boys and 40% girls. If you want equal representation of both genders in the sample, which method should you use: Simple Random Sampling or Stratified Sampling? Why?</t>
  </si>
  <si>
    <t>The average height of 1000 students = 160 cm. A sample of 100 students shows an average height = 158 cm.</t>
  </si>
  <si>
    <t>Find the sampling error.</t>
  </si>
  <si>
    <t>The population mean salary is ₹50,000 with σ = ₹5,000. If we take a sample of 100 employees, what is the standard error of the mean (SEM)?</t>
  </si>
  <si>
    <t>In a group of 100 students:</t>
  </si>
  <si>
    <t>40 like Cricket (C)</t>
  </si>
  <si>
    <t>30 like Football (F)</t>
  </si>
  <si>
    <t>10 like both Cricket and Football</t>
  </si>
  <si>
    <t>From a deck of 52 cards, two cards are drawn without replacement. What is the probability that both are Aces?</t>
  </si>
  <si>
    <t>Differentiate between discrete and continuous random variables with examples</t>
  </si>
  <si>
    <t>a)</t>
  </si>
  <si>
    <t>Total No of Favourable outcomes:- Even number(2,4,6) = 3</t>
  </si>
  <si>
    <t>Total no of Outcomes = 6</t>
  </si>
  <si>
    <t>Probability of getting an even  number =</t>
  </si>
  <si>
    <t>Total No of Favourable outcomes</t>
  </si>
  <si>
    <t>Total no of Outcomes</t>
  </si>
  <si>
    <t>b)</t>
  </si>
  <si>
    <t>Total No of Favourable outcomes:- Number Greater Than 4 (5,6) = 2</t>
  </si>
  <si>
    <t>Probability of getting a number greater than 4 =</t>
  </si>
  <si>
    <t>Student chosen Maths = 20</t>
  </si>
  <si>
    <t>Student chosen Science = 15</t>
  </si>
  <si>
    <t>Student chosen both = 5</t>
  </si>
  <si>
    <t>Total =</t>
  </si>
  <si>
    <t xml:space="preserve">Total Students in class = </t>
  </si>
  <si>
    <t>What is the probability that a student chosen at random likes Mathematics or Science? _x000B_</t>
  </si>
  <si>
    <t>Probability that a student chosen at random likes Mathematics or Science</t>
  </si>
  <si>
    <t>Total red balls</t>
  </si>
  <si>
    <t>Total blue balls</t>
  </si>
  <si>
    <t>Total balls</t>
  </si>
  <si>
    <t xml:space="preserve">So the probability that the next ball is also red </t>
  </si>
  <si>
    <t>Remaining Red balls</t>
  </si>
  <si>
    <t>Remaining Total Balls</t>
  </si>
  <si>
    <t>Given first ball drawn is red that’s why the total number of ball remaining out of five balls is 4 and red balls will be 2.</t>
  </si>
  <si>
    <t>The best method would be Stratified Sampling</t>
  </si>
  <si>
    <t>Stratified Sampling involves dividing the population into groups (boys and girls) and then selecting an equal number from each group.It ensures equal distribution and representation of both boys and girls.</t>
  </si>
  <si>
    <t xml:space="preserve">Sampling error = </t>
  </si>
  <si>
    <t>Sample mean - Population mean</t>
  </si>
  <si>
    <t>Sample mean height =</t>
  </si>
  <si>
    <t xml:space="preserve">Population mean height = </t>
  </si>
  <si>
    <t xml:space="preserve">Sampling error </t>
  </si>
  <si>
    <t xml:space="preserve">Standard error = </t>
  </si>
  <si>
    <t>σ/√n</t>
  </si>
  <si>
    <t>σ =</t>
  </si>
  <si>
    <t>n =</t>
  </si>
  <si>
    <t>√(100)</t>
  </si>
  <si>
    <t>Total students = 100</t>
  </si>
  <si>
    <t>Like Cricket (C) = 40</t>
  </si>
  <si>
    <t>Like Football (F) = 30</t>
  </si>
  <si>
    <t>Like both = 10</t>
  </si>
  <si>
    <t>40+30-10</t>
  </si>
  <si>
    <t>Find the probability that a student likes at least one sport. _x000B_</t>
  </si>
  <si>
    <t xml:space="preserve">Probability that a student likes at least one sport. </t>
  </si>
  <si>
    <t>Students who like at least one sport=</t>
  </si>
  <si>
    <t xml:space="preserve">Probability of first card as ace = </t>
  </si>
  <si>
    <t xml:space="preserve">Probability of second card as Ace = </t>
  </si>
  <si>
    <t xml:space="preserve">Probabilty of both card as ace = </t>
  </si>
  <si>
    <t>X</t>
  </si>
  <si>
    <t>equals to</t>
  </si>
  <si>
    <r>
      <t xml:space="preserve">The defective rate is </t>
    </r>
    <r>
      <rPr>
        <b/>
        <sz val="11"/>
        <color theme="1"/>
        <rFont val="Calibri"/>
        <family val="2"/>
        <scheme val="minor"/>
      </rPr>
      <t>2%</t>
    </r>
    <r>
      <rPr>
        <sz val="11"/>
        <color theme="1"/>
        <rFont val="Calibri"/>
        <family val="2"/>
        <scheme val="minor"/>
      </rPr>
      <t xml:space="preserve">, so the probability that a bulb is </t>
    </r>
    <r>
      <rPr>
        <b/>
        <sz val="11"/>
        <color theme="1"/>
        <rFont val="Calibri"/>
        <family val="2"/>
        <scheme val="minor"/>
      </rPr>
      <t>non-defective</t>
    </r>
    <r>
      <rPr>
        <sz val="11"/>
        <color theme="1"/>
        <rFont val="Calibri"/>
        <family val="2"/>
        <scheme val="minor"/>
      </rPr>
      <t xml:space="preserve"> is:</t>
    </r>
  </si>
  <si>
    <t>Defective rate</t>
  </si>
  <si>
    <t>The total probability of any experiment is always 1.</t>
  </si>
  <si>
    <t>1 - 0.02</t>
  </si>
  <si>
    <t>A factory produces bulbs with 2% defective rate. If 5 bulbs are chosen at random, what is the probability that all are non-defective? _x000B_</t>
  </si>
  <si>
    <t xml:space="preserve"> Probability that all are non-defective = </t>
  </si>
  <si>
    <r>
      <t xml:space="preserve">So, there is about a </t>
    </r>
    <r>
      <rPr>
        <b/>
        <sz val="11"/>
        <color theme="1"/>
        <rFont val="Calibri"/>
        <family val="2"/>
        <scheme val="minor"/>
      </rPr>
      <t>90.39%</t>
    </r>
    <r>
      <rPr>
        <sz val="11"/>
        <color theme="1"/>
        <rFont val="Calibri"/>
        <family val="2"/>
        <scheme val="minor"/>
      </rPr>
      <t xml:space="preserve"> chance that all 5 bulbs are non-defective.</t>
    </r>
  </si>
  <si>
    <t>For e.g:-</t>
  </si>
  <si>
    <t>Discrete Random Variables are finite and  countable values  (0,1,2,3,…)</t>
  </si>
  <si>
    <t>Continous random varibales Takes uncountable values within a rangeand  Infinite values in an interval i.e Decimals data (0.5,0.1,0.25 …)</t>
  </si>
  <si>
    <t>Weights(55.5kg, 65.8kg)</t>
  </si>
  <si>
    <t>Heights (168.5cm, 170.2cm)</t>
  </si>
  <si>
    <t>Teampratures (37.5 degree, 40.2 degree)</t>
  </si>
  <si>
    <t>Number of Students in class, Number of employee in company, Number of books in Shelf.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</si>
</sst>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9" fontId="0" fillId="0" borderId="0" xfId="0" applyNumberFormat="1"/>
    <xf numFmtId="0" fontId="1" fillId="2" borderId="0" xfId="0" applyFont="1" applyFill="1"/>
    <xf numFmtId="9" fontId="1" fillId="0" borderId="0" xfId="0" applyNumberFormat="1" applyFont="1" applyFill="1"/>
    <xf numFmtId="0" fontId="0" fillId="0" borderId="0" xfId="0" applyFont="1"/>
    <xf numFmtId="0" fontId="0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396240</xdr:colOff>
      <xdr:row>10</xdr:row>
      <xdr:rowOff>19050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2A9172-9889-FBEF-B264-F6621A0F878B}"/>
            </a:ext>
          </a:extLst>
        </xdr:cNvPr>
        <xdr:cNvSpPr txBox="1"/>
      </xdr:nvSpPr>
      <xdr:spPr>
        <a:xfrm>
          <a:off x="6629400" y="18707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4</xdr:col>
      <xdr:colOff>106680</xdr:colOff>
      <xdr:row>8</xdr:row>
      <xdr:rowOff>19050</xdr:rowOff>
    </xdr:from>
    <xdr:ext cx="502920" cy="17774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6E7A19E-82AE-83FD-0396-5CACAE9D5A1E}"/>
                </a:ext>
              </a:extLst>
            </xdr:cNvPr>
            <xdr:cNvSpPr txBox="1"/>
          </xdr:nvSpPr>
          <xdr:spPr>
            <a:xfrm>
              <a:off x="2545080" y="1482090"/>
              <a:ext cx="502920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(0.98)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</m:sSup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6E7A19E-82AE-83FD-0396-5CACAE9D5A1E}"/>
                </a:ext>
              </a:extLst>
            </xdr:cNvPr>
            <xdr:cNvSpPr txBox="1"/>
          </xdr:nvSpPr>
          <xdr:spPr>
            <a:xfrm>
              <a:off x="2545080" y="1482090"/>
              <a:ext cx="502920" cy="1777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(0.98)</a:t>
              </a:r>
              <a:r>
                <a:rPr lang="en-IN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</a:rPr>
                <a:t>5</a:t>
              </a:r>
              <a:endParaRPr lang="en-I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5CCA-C088-4743-9022-1A8B1CF368A9}">
  <dimension ref="A1:M18"/>
  <sheetViews>
    <sheetView workbookViewId="0">
      <selection activeCell="K24" sqref="K24"/>
    </sheetView>
  </sheetViews>
  <sheetFormatPr defaultRowHeight="14.4" x14ac:dyDescent="0.3"/>
  <cols>
    <col min="5" max="5" width="14.6640625" customWidth="1"/>
  </cols>
  <sheetData>
    <row r="1" spans="1:13" x14ac:dyDescent="0.3">
      <c r="A1" s="1" t="s">
        <v>0</v>
      </c>
      <c r="B1" t="s">
        <v>1</v>
      </c>
    </row>
    <row r="2" spans="1:13" x14ac:dyDescent="0.3">
      <c r="B2" t="s">
        <v>2</v>
      </c>
    </row>
    <row r="3" spans="1:13" x14ac:dyDescent="0.3">
      <c r="B3" t="s">
        <v>3</v>
      </c>
    </row>
    <row r="5" spans="1:13" x14ac:dyDescent="0.3">
      <c r="A5" s="1" t="s">
        <v>4</v>
      </c>
    </row>
    <row r="7" spans="1:13" x14ac:dyDescent="0.3">
      <c r="A7" t="s">
        <v>20</v>
      </c>
      <c r="B7" t="s">
        <v>21</v>
      </c>
    </row>
    <row r="8" spans="1:13" x14ac:dyDescent="0.3">
      <c r="B8" t="s">
        <v>22</v>
      </c>
    </row>
    <row r="10" spans="1:13" x14ac:dyDescent="0.3">
      <c r="B10" t="s">
        <v>23</v>
      </c>
      <c r="F10" t="s">
        <v>24</v>
      </c>
      <c r="J10">
        <v>3</v>
      </c>
      <c r="L10" s="5">
        <f>J10/J11</f>
        <v>0.5</v>
      </c>
      <c r="M10" s="6"/>
    </row>
    <row r="11" spans="1:13" x14ac:dyDescent="0.3">
      <c r="F11" s="2" t="s">
        <v>25</v>
      </c>
      <c r="G11" s="2"/>
      <c r="H11" s="2"/>
      <c r="J11" s="2">
        <v>6</v>
      </c>
    </row>
    <row r="14" spans="1:13" x14ac:dyDescent="0.3">
      <c r="A14" t="s">
        <v>26</v>
      </c>
      <c r="B14" t="s">
        <v>27</v>
      </c>
    </row>
    <row r="15" spans="1:13" x14ac:dyDescent="0.3">
      <c r="B15" t="s">
        <v>22</v>
      </c>
    </row>
    <row r="17" spans="2:12" x14ac:dyDescent="0.3">
      <c r="B17" t="s">
        <v>28</v>
      </c>
      <c r="F17" t="s">
        <v>24</v>
      </c>
      <c r="J17">
        <v>2</v>
      </c>
      <c r="L17" s="5">
        <f>J17/J18</f>
        <v>0.33333333333333331</v>
      </c>
    </row>
    <row r="18" spans="2:12" x14ac:dyDescent="0.3">
      <c r="F18" s="2" t="s">
        <v>25</v>
      </c>
      <c r="G18" s="2"/>
      <c r="H18" s="2"/>
      <c r="J18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DBC2-C6B0-4AF1-8AEA-3E7DD4C2D658}">
  <dimension ref="A1:I15"/>
  <sheetViews>
    <sheetView tabSelected="1" workbookViewId="0">
      <selection activeCell="G13" sqref="G13"/>
    </sheetView>
  </sheetViews>
  <sheetFormatPr defaultRowHeight="14.4" x14ac:dyDescent="0.3"/>
  <sheetData>
    <row r="1" spans="1:9" x14ac:dyDescent="0.3">
      <c r="A1" s="1" t="s">
        <v>0</v>
      </c>
      <c r="B1" t="s">
        <v>5</v>
      </c>
    </row>
    <row r="2" spans="1:9" x14ac:dyDescent="0.3">
      <c r="B2" t="s">
        <v>6</v>
      </c>
    </row>
    <row r="3" spans="1:9" x14ac:dyDescent="0.3">
      <c r="B3" t="s">
        <v>7</v>
      </c>
    </row>
    <row r="4" spans="1:9" x14ac:dyDescent="0.3">
      <c r="B4" t="s">
        <v>8</v>
      </c>
    </row>
    <row r="5" spans="1:9" x14ac:dyDescent="0.3">
      <c r="B5" t="s">
        <v>34</v>
      </c>
    </row>
    <row r="7" spans="1:9" x14ac:dyDescent="0.3">
      <c r="A7" s="1" t="s">
        <v>4</v>
      </c>
    </row>
    <row r="9" spans="1:9" x14ac:dyDescent="0.3">
      <c r="B9" t="s">
        <v>29</v>
      </c>
    </row>
    <row r="10" spans="1:9" x14ac:dyDescent="0.3">
      <c r="B10" t="s">
        <v>30</v>
      </c>
    </row>
    <row r="11" spans="1:9" x14ac:dyDescent="0.3">
      <c r="B11" t="s">
        <v>31</v>
      </c>
    </row>
    <row r="12" spans="1:9" x14ac:dyDescent="0.3">
      <c r="B12" t="s">
        <v>32</v>
      </c>
      <c r="E12">
        <v>40</v>
      </c>
    </row>
    <row r="13" spans="1:9" x14ac:dyDescent="0.3">
      <c r="B13" t="s">
        <v>33</v>
      </c>
      <c r="E13">
        <v>50</v>
      </c>
    </row>
    <row r="15" spans="1:9" x14ac:dyDescent="0.3">
      <c r="B15" s="1" t="s">
        <v>35</v>
      </c>
      <c r="I15" s="5">
        <f>E12/E13</f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F482-3B65-4BED-9CCE-51CD68F03FAA}">
  <dimension ref="A1:M10"/>
  <sheetViews>
    <sheetView workbookViewId="0">
      <selection activeCell="H16" sqref="H16"/>
    </sheetView>
  </sheetViews>
  <sheetFormatPr defaultRowHeight="14.4" x14ac:dyDescent="0.3"/>
  <sheetData>
    <row r="1" spans="1:13" x14ac:dyDescent="0.3">
      <c r="A1" s="1" t="s">
        <v>0</v>
      </c>
      <c r="B1" t="s">
        <v>9</v>
      </c>
    </row>
    <row r="3" spans="1:13" x14ac:dyDescent="0.3">
      <c r="A3" s="1" t="s">
        <v>4</v>
      </c>
    </row>
    <row r="4" spans="1:13" x14ac:dyDescent="0.3">
      <c r="A4" t="s">
        <v>36</v>
      </c>
      <c r="C4">
        <v>3</v>
      </c>
    </row>
    <row r="5" spans="1:13" x14ac:dyDescent="0.3">
      <c r="A5" t="s">
        <v>37</v>
      </c>
      <c r="C5">
        <v>2</v>
      </c>
    </row>
    <row r="6" spans="1:13" x14ac:dyDescent="0.3">
      <c r="A6" t="s">
        <v>38</v>
      </c>
      <c r="C6">
        <v>5</v>
      </c>
    </row>
    <row r="7" spans="1:13" x14ac:dyDescent="0.3">
      <c r="A7" t="s">
        <v>42</v>
      </c>
    </row>
    <row r="9" spans="1:13" x14ac:dyDescent="0.3">
      <c r="A9" s="1" t="s">
        <v>39</v>
      </c>
      <c r="F9" t="s">
        <v>40</v>
      </c>
      <c r="I9">
        <v>2</v>
      </c>
      <c r="K9">
        <v>1</v>
      </c>
      <c r="M9" s="5">
        <f>K9/K10</f>
        <v>0.5</v>
      </c>
    </row>
    <row r="10" spans="1:13" x14ac:dyDescent="0.3">
      <c r="F10" s="2" t="s">
        <v>41</v>
      </c>
      <c r="G10" s="2"/>
      <c r="I10" s="2">
        <v>4</v>
      </c>
      <c r="K10" s="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ACF7-F7FB-47AE-8AEA-1FD121C8D11F}">
  <dimension ref="A1:B5"/>
  <sheetViews>
    <sheetView workbookViewId="0">
      <selection activeCell="L14" sqref="L14"/>
    </sheetView>
  </sheetViews>
  <sheetFormatPr defaultRowHeight="14.4" x14ac:dyDescent="0.3"/>
  <sheetData>
    <row r="1" spans="1:2" x14ac:dyDescent="0.3">
      <c r="A1" s="1" t="s">
        <v>0</v>
      </c>
      <c r="B1" t="s">
        <v>10</v>
      </c>
    </row>
    <row r="3" spans="1:2" x14ac:dyDescent="0.3">
      <c r="A3" s="1" t="s">
        <v>4</v>
      </c>
    </row>
    <row r="4" spans="1:2" x14ac:dyDescent="0.3">
      <c r="A4" t="s">
        <v>43</v>
      </c>
    </row>
    <row r="5" spans="1:2" x14ac:dyDescent="0.3">
      <c r="A5" s="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9286-BF0E-44C7-AE87-C4718F0562E4}">
  <dimension ref="A1:D9"/>
  <sheetViews>
    <sheetView workbookViewId="0">
      <selection activeCell="E11" sqref="E11"/>
    </sheetView>
  </sheetViews>
  <sheetFormatPr defaultRowHeight="14.4" x14ac:dyDescent="0.3"/>
  <sheetData>
    <row r="1" spans="1:4" x14ac:dyDescent="0.3">
      <c r="A1" s="1" t="s">
        <v>0</v>
      </c>
      <c r="B1" t="s">
        <v>11</v>
      </c>
    </row>
    <row r="2" spans="1:4" x14ac:dyDescent="0.3">
      <c r="B2" t="s">
        <v>12</v>
      </c>
    </row>
    <row r="4" spans="1:4" x14ac:dyDescent="0.3">
      <c r="A4" s="1" t="s">
        <v>4</v>
      </c>
    </row>
    <row r="5" spans="1:4" x14ac:dyDescent="0.3">
      <c r="A5" t="s">
        <v>45</v>
      </c>
      <c r="C5" t="s">
        <v>46</v>
      </c>
    </row>
    <row r="6" spans="1:4" x14ac:dyDescent="0.3">
      <c r="A6" t="s">
        <v>47</v>
      </c>
      <c r="D6">
        <v>158</v>
      </c>
    </row>
    <row r="7" spans="1:4" x14ac:dyDescent="0.3">
      <c r="A7" t="s">
        <v>48</v>
      </c>
      <c r="D7">
        <v>160</v>
      </c>
    </row>
    <row r="9" spans="1:4" x14ac:dyDescent="0.3">
      <c r="A9" s="1" t="s">
        <v>49</v>
      </c>
      <c r="D9" s="3">
        <f>D6-D7</f>
        <v>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B0BC-4AAD-4A9F-8084-4D6834F461D2}">
  <dimension ref="A1:G10"/>
  <sheetViews>
    <sheetView workbookViewId="0">
      <selection activeCell="F13" sqref="F13"/>
    </sheetView>
  </sheetViews>
  <sheetFormatPr defaultRowHeight="14.4" x14ac:dyDescent="0.3"/>
  <sheetData>
    <row r="1" spans="1:7" x14ac:dyDescent="0.3">
      <c r="A1" s="1" t="s">
        <v>0</v>
      </c>
      <c r="B1" t="s">
        <v>13</v>
      </c>
    </row>
    <row r="3" spans="1:7" x14ac:dyDescent="0.3">
      <c r="A3" s="1" t="s">
        <v>4</v>
      </c>
    </row>
    <row r="5" spans="1:7" x14ac:dyDescent="0.3">
      <c r="A5" t="s">
        <v>50</v>
      </c>
      <c r="C5" t="s">
        <v>51</v>
      </c>
    </row>
    <row r="6" spans="1:7" x14ac:dyDescent="0.3">
      <c r="A6" t="s">
        <v>52</v>
      </c>
      <c r="B6">
        <v>5000</v>
      </c>
    </row>
    <row r="7" spans="1:7" x14ac:dyDescent="0.3">
      <c r="A7" t="s">
        <v>53</v>
      </c>
      <c r="B7">
        <v>100</v>
      </c>
    </row>
    <row r="9" spans="1:7" x14ac:dyDescent="0.3">
      <c r="A9" s="1" t="s">
        <v>50</v>
      </c>
      <c r="C9" s="7">
        <v>5000</v>
      </c>
      <c r="E9">
        <v>5000</v>
      </c>
      <c r="G9" s="5">
        <f>E9/E10</f>
        <v>500</v>
      </c>
    </row>
    <row r="10" spans="1:7" x14ac:dyDescent="0.3">
      <c r="C10" s="8" t="s">
        <v>54</v>
      </c>
      <c r="E10" s="2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647B-A54C-433A-9E27-3847C66C08D1}">
  <dimension ref="A1:F15"/>
  <sheetViews>
    <sheetView workbookViewId="0">
      <selection activeCell="D20" sqref="D20"/>
    </sheetView>
  </sheetViews>
  <sheetFormatPr defaultRowHeight="14.4" x14ac:dyDescent="0.3"/>
  <sheetData>
    <row r="1" spans="1:6" x14ac:dyDescent="0.3">
      <c r="A1" s="1" t="s">
        <v>0</v>
      </c>
      <c r="B1" t="s">
        <v>14</v>
      </c>
    </row>
    <row r="2" spans="1:6" x14ac:dyDescent="0.3">
      <c r="B2" t="s">
        <v>15</v>
      </c>
    </row>
    <row r="3" spans="1:6" x14ac:dyDescent="0.3">
      <c r="B3" t="s">
        <v>16</v>
      </c>
    </row>
    <row r="4" spans="1:6" x14ac:dyDescent="0.3">
      <c r="B4" t="s">
        <v>17</v>
      </c>
    </row>
    <row r="5" spans="1:6" x14ac:dyDescent="0.3">
      <c r="B5" t="s">
        <v>60</v>
      </c>
    </row>
    <row r="7" spans="1:6" x14ac:dyDescent="0.3">
      <c r="A7" s="1" t="s">
        <v>4</v>
      </c>
    </row>
    <row r="8" spans="1:6" x14ac:dyDescent="0.3">
      <c r="B8" t="s">
        <v>55</v>
      </c>
    </row>
    <row r="9" spans="1:6" x14ac:dyDescent="0.3">
      <c r="B9" t="s">
        <v>56</v>
      </c>
    </row>
    <row r="10" spans="1:6" x14ac:dyDescent="0.3">
      <c r="B10" t="s">
        <v>57</v>
      </c>
    </row>
    <row r="11" spans="1:6" x14ac:dyDescent="0.3">
      <c r="B11" t="s">
        <v>58</v>
      </c>
    </row>
    <row r="13" spans="1:6" x14ac:dyDescent="0.3">
      <c r="A13" t="s">
        <v>62</v>
      </c>
      <c r="E13" t="s">
        <v>59</v>
      </c>
      <c r="F13" s="3">
        <v>60</v>
      </c>
    </row>
    <row r="15" spans="1:6" x14ac:dyDescent="0.3">
      <c r="A15" t="s">
        <v>61</v>
      </c>
      <c r="F15" s="5">
        <f>F13/100</f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16BF-3466-4315-8B92-DE854A465766}">
  <dimension ref="A1:M13"/>
  <sheetViews>
    <sheetView workbookViewId="0">
      <selection activeCell="G20" sqref="G20"/>
    </sheetView>
  </sheetViews>
  <sheetFormatPr defaultRowHeight="14.4" x14ac:dyDescent="0.3"/>
  <cols>
    <col min="7" max="7" width="11.5546875" customWidth="1"/>
  </cols>
  <sheetData>
    <row r="1" spans="1:13" x14ac:dyDescent="0.3">
      <c r="A1" s="1" t="s">
        <v>0</v>
      </c>
      <c r="B1" t="s">
        <v>18</v>
      </c>
    </row>
    <row r="4" spans="1:13" x14ac:dyDescent="0.3">
      <c r="A4" s="1" t="s">
        <v>4</v>
      </c>
    </row>
    <row r="6" spans="1:13" x14ac:dyDescent="0.3">
      <c r="A6" t="s">
        <v>63</v>
      </c>
      <c r="E6">
        <v>4</v>
      </c>
    </row>
    <row r="7" spans="1:13" x14ac:dyDescent="0.3">
      <c r="E7" s="2">
        <v>52</v>
      </c>
    </row>
    <row r="9" spans="1:13" x14ac:dyDescent="0.3">
      <c r="A9" t="s">
        <v>64</v>
      </c>
      <c r="E9">
        <v>3</v>
      </c>
    </row>
    <row r="10" spans="1:13" x14ac:dyDescent="0.3">
      <c r="E10" s="2">
        <v>51</v>
      </c>
    </row>
    <row r="12" spans="1:13" x14ac:dyDescent="0.3">
      <c r="A12" t="s">
        <v>65</v>
      </c>
      <c r="E12" s="9">
        <v>4</v>
      </c>
      <c r="F12" s="10" t="s">
        <v>66</v>
      </c>
      <c r="G12" s="9">
        <v>3</v>
      </c>
      <c r="H12" t="s">
        <v>67</v>
      </c>
      <c r="I12" s="9">
        <v>12</v>
      </c>
      <c r="J12" t="s">
        <v>67</v>
      </c>
      <c r="K12" s="5">
        <v>1</v>
      </c>
      <c r="M12" s="5">
        <f>K12/K13</f>
        <v>4.5248868778280547E-3</v>
      </c>
    </row>
    <row r="13" spans="1:13" x14ac:dyDescent="0.3">
      <c r="E13" s="12">
        <v>52</v>
      </c>
      <c r="F13" s="10"/>
      <c r="G13" s="12">
        <v>51</v>
      </c>
      <c r="I13" s="12">
        <v>2652</v>
      </c>
      <c r="K13" s="11">
        <v>221</v>
      </c>
    </row>
  </sheetData>
  <mergeCells count="1">
    <mergeCell ref="F12:F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EB82-967E-4247-B4A6-F86F32E43BD5}">
  <dimension ref="A1:I11"/>
  <sheetViews>
    <sheetView workbookViewId="0">
      <selection activeCell="C18" sqref="C18"/>
    </sheetView>
  </sheetViews>
  <sheetFormatPr defaultRowHeight="14.4" x14ac:dyDescent="0.3"/>
  <cols>
    <col min="8" max="8" width="10.88671875" customWidth="1"/>
  </cols>
  <sheetData>
    <row r="1" spans="1:9" x14ac:dyDescent="0.3">
      <c r="A1" s="1" t="s">
        <v>0</v>
      </c>
      <c r="B1" t="s">
        <v>72</v>
      </c>
    </row>
    <row r="3" spans="1:9" x14ac:dyDescent="0.3">
      <c r="A3" s="1" t="s">
        <v>4</v>
      </c>
    </row>
    <row r="4" spans="1:9" x14ac:dyDescent="0.3">
      <c r="A4" t="s">
        <v>69</v>
      </c>
      <c r="C4" s="4">
        <v>0.02</v>
      </c>
      <c r="D4">
        <v>0.02</v>
      </c>
    </row>
    <row r="5" spans="1:9" x14ac:dyDescent="0.3">
      <c r="A5" t="s">
        <v>70</v>
      </c>
    </row>
    <row r="7" spans="1:9" x14ac:dyDescent="0.3">
      <c r="A7" t="s">
        <v>68</v>
      </c>
      <c r="H7" t="s">
        <v>71</v>
      </c>
      <c r="I7">
        <v>0.98</v>
      </c>
    </row>
    <row r="9" spans="1:9" ht="16.2" customHeight="1" x14ac:dyDescent="0.3">
      <c r="A9" t="s">
        <v>73</v>
      </c>
      <c r="F9" s="13"/>
      <c r="G9">
        <v>0.90390000000000004</v>
      </c>
    </row>
    <row r="11" spans="1:9" x14ac:dyDescent="0.3">
      <c r="A11" t="s">
        <v>74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A4FB2-4C44-41D7-9F1C-1C22823E4A6C}">
  <dimension ref="A1:B11"/>
  <sheetViews>
    <sheetView workbookViewId="0">
      <selection activeCell="G18" sqref="G18"/>
    </sheetView>
  </sheetViews>
  <sheetFormatPr defaultRowHeight="14.4" x14ac:dyDescent="0.3"/>
  <sheetData>
    <row r="1" spans="1:2" x14ac:dyDescent="0.3">
      <c r="A1" s="1" t="s">
        <v>0</v>
      </c>
      <c r="B1" t="s">
        <v>19</v>
      </c>
    </row>
    <row r="3" spans="1:2" x14ac:dyDescent="0.3">
      <c r="A3" s="1" t="s">
        <v>4</v>
      </c>
    </row>
    <row r="5" spans="1:2" x14ac:dyDescent="0.3">
      <c r="A5" t="s">
        <v>76</v>
      </c>
    </row>
    <row r="6" spans="1:2" x14ac:dyDescent="0.3">
      <c r="A6" t="s">
        <v>75</v>
      </c>
      <c r="B6" t="s">
        <v>81</v>
      </c>
    </row>
    <row r="8" spans="1:2" x14ac:dyDescent="0.3">
      <c r="A8" s="7" t="s">
        <v>77</v>
      </c>
    </row>
    <row r="9" spans="1:2" x14ac:dyDescent="0.3">
      <c r="A9" s="7" t="s">
        <v>75</v>
      </c>
      <c r="B9" t="s">
        <v>80</v>
      </c>
    </row>
    <row r="10" spans="1:2" x14ac:dyDescent="0.3">
      <c r="B10" t="s">
        <v>79</v>
      </c>
    </row>
    <row r="11" spans="1:2" x14ac:dyDescent="0.3">
      <c r="B1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Shirodkar</dc:creator>
  <cp:lastModifiedBy>Abhishek Shirodkar</cp:lastModifiedBy>
  <dcterms:created xsi:type="dcterms:W3CDTF">2025-12-27T05:59:48Z</dcterms:created>
  <dcterms:modified xsi:type="dcterms:W3CDTF">2025-12-27T07:47:04Z</dcterms:modified>
</cp:coreProperties>
</file>