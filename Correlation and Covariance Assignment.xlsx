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2e4e32c79d5415/Desktop/Hrushikesh/PW SKILLS ASSIGNMENTS/Statistics/"/>
    </mc:Choice>
  </mc:AlternateContent>
  <xr:revisionPtr revIDLastSave="333" documentId="8_{F8C4F035-7CDD-46A0-85C3-322E23A9B16A}" xr6:coauthVersionLast="47" xr6:coauthVersionMax="47" xr10:uidLastSave="{5AD5358F-4DCB-4DDE-8F74-59EC58C3FC48}"/>
  <bookViews>
    <workbookView xWindow="-108" yWindow="-108" windowWidth="23256" windowHeight="12456" activeTab="9" xr2:uid="{44C62505-4036-4840-8CE7-E07C1C4CC174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0" l="1"/>
  <c r="B19" i="10"/>
  <c r="B18" i="10"/>
  <c r="B17" i="10"/>
  <c r="B14" i="10"/>
  <c r="B17" i="8"/>
  <c r="B14" i="8"/>
  <c r="B13" i="8"/>
  <c r="B12" i="8"/>
  <c r="B11" i="8"/>
  <c r="B12" i="7"/>
  <c r="B18" i="7" s="1"/>
  <c r="B15" i="7"/>
  <c r="B14" i="7"/>
  <c r="B13" i="7"/>
  <c r="B25" i="6"/>
  <c r="B21" i="6"/>
  <c r="C18" i="6"/>
  <c r="D14" i="6"/>
  <c r="D15" i="6"/>
  <c r="D16" i="6"/>
  <c r="D13" i="6"/>
  <c r="C14" i="6"/>
  <c r="E14" i="6" s="1"/>
  <c r="C15" i="6"/>
  <c r="C16" i="6"/>
  <c r="E16" i="6" s="1"/>
  <c r="C13" i="6"/>
  <c r="B10" i="6"/>
  <c r="B9" i="6"/>
  <c r="E15" i="6" l="1"/>
  <c r="E13" i="6"/>
</calcChain>
</file>

<file path=xl/sharedStrings.xml><?xml version="1.0" encoding="utf-8"?>
<sst xmlns="http://schemas.openxmlformats.org/spreadsheetml/2006/main" count="175" uniqueCount="137">
  <si>
    <t>Question:-</t>
  </si>
  <si>
    <t>Define Covariance and explain how it differs from Correlation in terms of scale and interpretation.</t>
  </si>
  <si>
    <t>Answer:-</t>
  </si>
  <si>
    <t>What does a positive, negative, and zero covariance indicate about the relationship between two variables?</t>
  </si>
  <si>
    <t>Discuss the limitations of covariance as a measure of relationship between two variables. Why is correlation preferred in many cases?</t>
  </si>
  <si>
    <t>Explain the difference between Pearson’s correlation coefficient and Spearman’s rank correlation coefficient. When would you prefer to use Spearman’s correlation?</t>
  </si>
  <si>
    <t>If the correlation coefficient between two variables X and Y is 0.85, interpret this value in context. Can you infer causation from this value? Why or why not?</t>
  </si>
  <si>
    <t>Using the dataset below, calculate the covariance between X and Y.</t>
  </si>
  <si>
    <t>X</t>
  </si>
  <si>
    <t>Y</t>
  </si>
  <si>
    <t>Answer:</t>
  </si>
  <si>
    <t>Compute the Pearson correlation coefficient between variables A and B:</t>
  </si>
  <si>
    <t>A</t>
  </si>
  <si>
    <t>B</t>
  </si>
  <si>
    <t>The following table shows heights (in cm) and weights (in kg) of 5 students.  Find the correlation coefficient between Height and Weight.</t>
  </si>
  <si>
    <t>Given the dataset below, determine whether there is a positive or negative correlation between X and Y.  (No need for exact calculation, just reasoning.)</t>
  </si>
  <si>
    <t>Two investment portfolios have the following returns (%) over 5 years. Compute the covariance and correlation coefficient, and interpret whether the portfolios move together.</t>
  </si>
  <si>
    <t>Year</t>
  </si>
  <si>
    <t>Covariance is a statistical measure that describes the directional relationship between two variables (x and y).</t>
  </si>
  <si>
    <t>If both increase or decrease at the same time → positive covariance.</t>
  </si>
  <si>
    <t>If there’s no consistent pattern → covariance is close to zero.</t>
  </si>
  <si>
    <t>If one increases while the other decreases → negative covariance.</t>
  </si>
  <si>
    <t>Formula:-</t>
  </si>
  <si>
    <t>Cov(x,y)=</t>
  </si>
  <si>
    <t>Summation(x-xbar) (y-ybar) / n-1</t>
  </si>
  <si>
    <t>Correlation is a standardized version of covariance.</t>
  </si>
  <si>
    <t>It not only shows the direction (positive/negative) but also the strength of the relationship.</t>
  </si>
  <si>
    <t>+1 → perfect positive relationship</t>
  </si>
  <si>
    <t>-1 → perfect negative relationship</t>
  </si>
  <si>
    <t>0 → no relationship</t>
  </si>
  <si>
    <t>Depends on the units of the variables (e.g., cm, kg, rupees). Values can be very large or small.</t>
  </si>
  <si>
    <t>It is Unit-free and Range lies between -1 and +1:</t>
  </si>
  <si>
    <t>Correlation=</t>
  </si>
  <si>
    <t>Covariance/Standard deviation(x) *Standard deviation(y)</t>
  </si>
  <si>
    <t xml:space="preserve">Covariance is a way to check how two variables  move together. It tells us the direction of their relationship, but not 
the strength. </t>
  </si>
  <si>
    <t>Positive Covariance:-</t>
  </si>
  <si>
    <t>Both variables move in the same direction.</t>
  </si>
  <si>
    <t>If one increases, the other also increases. If one decreases, the other decreases. Example: As study time increases, exam scores also increase.</t>
  </si>
  <si>
    <t>Negative Covariance:-</t>
  </si>
  <si>
    <t>Variables move in opposite directions.</t>
  </si>
  <si>
    <t>If one increases, the other decreases.</t>
  </si>
  <si>
    <t>E.g: As study time increases, exam scores also increase.</t>
  </si>
  <si>
    <t>E.g: As exercise time increases, body fat decreases.</t>
  </si>
  <si>
    <t>Zero Covariance:-</t>
  </si>
  <si>
    <t>No consistent relationship between the variables.</t>
  </si>
  <si>
    <t>Changes in one variable don’t predict changes in the other.</t>
  </si>
  <si>
    <t>E.g: Shoe size and exam scores — they don’t affect each other.</t>
  </si>
  <si>
    <t>Limitations of Covariance:-</t>
  </si>
  <si>
    <t>The main limitation is the scale-dependency and lack of standardization.</t>
  </si>
  <si>
    <t>If you change the units (e.g., from meters to centimeters), the covariance value will change dramatically, even though the relationship between the variables remains the same.</t>
  </si>
  <si>
    <t xml:space="preserve">1. Scale Dependence: </t>
  </si>
  <si>
    <t xml:space="preserve">The magnitude of covariance is directly affected by the units of the variables. </t>
  </si>
  <si>
    <t>2. Lack of Standardization:</t>
  </si>
  <si>
    <t>Because it is not bounded, it's impossible to tell if a covariance of, say, 100 indicates a weak or strong relationship without knowing the variables' standard deviations.</t>
  </si>
  <si>
    <t>Why Correlation is Preferred:-</t>
  </si>
  <si>
    <t>It is preferred because it standardizes the measure of the relationship:</t>
  </si>
  <si>
    <t>Standardization: Correlation is calculated by dividing the covariance by the product of the standard deviations of the two variables, effectively removing the units.</t>
  </si>
  <si>
    <t>Ease of Interpretation: The resulting value is always between -1 to +1, allowing for immediate and universal interpretation of the strength and direction of the linear relationship, regardless of the 
variables' original units.</t>
  </si>
  <si>
    <t>Pearson’s Correlation Coefficient:-</t>
  </si>
  <si>
    <t>What it measures: The strength and direction of a linear relationship between two variables.</t>
  </si>
  <si>
    <t>Data type: Works best with continuous, numerical data (like height and weight).</t>
  </si>
  <si>
    <t>Range: Always between -1 and +1.</t>
  </si>
  <si>
    <t>+1 → perfect positive linear relationship</t>
  </si>
  <si>
    <t>-1 → perfect negative linear relationship</t>
  </si>
  <si>
    <t>0 → no linear relationship</t>
  </si>
  <si>
    <t>Key point: Assumes the relationship is straight-line (linear) and sensitive to outliers.</t>
  </si>
  <si>
    <t>E.g: If we want to see how hours studied relate to exam scores (assuming more hours = higher scores in a straight-line fashion), Pearson is the right choice.</t>
  </si>
  <si>
    <t>Spearman’s Rank Correlation Coefficient:-</t>
  </si>
  <si>
    <t>What it measures: The strength and direction of a monotonic relationship (values move consistently up or down, not necessarily in a straight line).</t>
  </si>
  <si>
    <t>Data type: Works with ranked/ordered data or when values don’t follow a linear pattern.</t>
  </si>
  <si>
    <t>How it works: Converts data into ranks (1st, 2nd, 3rd, etc.) and then measures correlation based on those ranks.</t>
  </si>
  <si>
    <t>Key point: Less sensitive to outliers and doesn’t require linearity.</t>
  </si>
  <si>
    <t>E.g: If we want to see whether students with higher ranks in class also tend to score higher in sports competitions, Spearman is better because it compares order, not exact values.</t>
  </si>
  <si>
    <t>When to Prefer Spearman:-</t>
  </si>
  <si>
    <t>Data is ordinal (ranked, not continuous).</t>
  </si>
  <si>
    <t>The relationship is non-linear but still monotonic (values move in one direction overall).</t>
  </si>
  <si>
    <t>We want a method that’s robust to outliers.</t>
  </si>
  <si>
    <t>Interpretation of Correlation Coefficient (0.85):-</t>
  </si>
  <si>
    <t>The data points lie close to a straight line with positive slope.</t>
  </si>
  <si>
    <t>The strength (0.85 being close to 1) suggests that the variables move together quite consistently, though not perfectly.</t>
  </si>
  <si>
    <t>We cannot infer causation from this value:-</t>
  </si>
  <si>
    <t>Correlation does not imply causation. Correlation only measures association, not cause-effect. Even though X and Y are strongly related, we cannot conclude that changes in X cause changes in Y (or vice versa).</t>
  </si>
  <si>
    <t>Reasons we cannot infer causation:</t>
  </si>
  <si>
    <t>1. Confounding variables: A third factor may influence both X and Y. ▪ Example: Ice cream sales (X) and drowning incidents (Y) are correlated, but the real cause is temperature (hot weather increases both).</t>
  </si>
  <si>
    <t>2. Direction of influence unclear: Even if X and Y move together, we don’t know if X causes Y, Y causes X, or both are influenced by something else.</t>
  </si>
  <si>
    <t>3. Coincidence: Sometimes correlations occur by chance, especially in small datasets.</t>
  </si>
  <si>
    <t>To establish causation, one would need controlled experiments, longitudinal studies, or causal inference/statistical modeling (e.g., regression with confounder control) methods beyond correlation.</t>
  </si>
  <si>
    <t>In short: 0.85 means strong positive association, but causation cannot be claimed without deeper evidence.</t>
  </si>
  <si>
    <t>The correlation coefficient (r) ranges from –1 to +1. A value of 0.85 is close to +1, which indicates:Strong positive linear relationship → as X increases, Y also tends to increase.</t>
  </si>
  <si>
    <t>Cov(𝑋,𝑌)=∑(𝑋𝑖−𝑋ˉ)(𝑌𝑖−𝑌ˉ) /𝑛-1</t>
  </si>
  <si>
    <t>Mean (𝑋ˉ)</t>
  </si>
  <si>
    <t>Mean (Yˉ)</t>
  </si>
  <si>
    <t>𝑋𝑖−𝑋ˉ</t>
  </si>
  <si>
    <t>𝑌𝑖−𝑌ˉ</t>
  </si>
  <si>
    <t>(𝑋𝑖−𝑋ˉ) x (𝑌𝑖−𝑌ˉ)</t>
  </si>
  <si>
    <t>∑(Xi−Xˉ) (Yi−Yˉ)=</t>
  </si>
  <si>
    <t>N-1=</t>
  </si>
  <si>
    <t>4-1</t>
  </si>
  <si>
    <t>If we want to calculate it using excel Formula then:-</t>
  </si>
  <si>
    <t>Interpretation:-</t>
  </si>
  <si>
    <t>The covariance between X and Y is 6.333.</t>
  </si>
  <si>
    <t>Since it’s positive, it indicates that as X increases, Y tends to increase too.</t>
  </si>
  <si>
    <t>Formula</t>
  </si>
  <si>
    <t>𝑟=Cov(𝐴,𝐵)/ 𝜎𝐴⋅𝜎𝐵</t>
  </si>
  <si>
    <t>Cov(A,B)</t>
  </si>
  <si>
    <t>where 𝜎= Standard Deviation</t>
  </si>
  <si>
    <t>𝜎𝐵</t>
  </si>
  <si>
    <t>𝜎𝐴</t>
  </si>
  <si>
    <t>Covariance we can calculate using excel formula, as already solved manually in previous question:-</t>
  </si>
  <si>
    <t>𝜎𝐴*𝜎𝐵</t>
  </si>
  <si>
    <t>r=</t>
  </si>
  <si>
    <t xml:space="preserve">Interpretation:  </t>
  </si>
  <si>
    <t>The Pearson correlation coefficient is ≈ 0.997.</t>
  </si>
  <si>
    <t>This is extremely close to +1, meaning there is a very strong positive linear relationship between A and B. As A increases, B increases almost perfectly in a linear fashion.</t>
  </si>
  <si>
    <t>The Pearson correlation coefficient (r) is:</t>
  </si>
  <si>
    <t>Height(X)</t>
  </si>
  <si>
    <t>Weight(Y)</t>
  </si>
  <si>
    <t>Cov(X,Y)</t>
  </si>
  <si>
    <t>𝜎X</t>
  </si>
  <si>
    <t>𝜎Y</t>
  </si>
  <si>
    <t>𝜎X*𝜎Y</t>
  </si>
  <si>
    <t>The correlation coefficient between Height and Weight is approximately:0.99</t>
  </si>
  <si>
    <t>This is a very strong positive correlation.</t>
  </si>
  <si>
    <t>It means taller students tend to weigh more, almost perfectly linearly in this dataset.</t>
  </si>
  <si>
    <t>But correlation ≠ causation — height doesn’t directly cause weight, though they are strongly related.</t>
  </si>
  <si>
    <t>As the values of X increase (from 1 to 5), the values of Y decrease (from 15 to 3). This shows that the two variables move in opposite directions.</t>
  </si>
  <si>
    <t>When X goes up, Y goes down.</t>
  </si>
  <si>
    <t>The decrease is consistent across all data points.</t>
  </si>
  <si>
    <t>Therefore, the dataset indicates a perfect negative correlation between X and Y.</t>
  </si>
  <si>
    <t>If calculated, the correlation coefficient would be close to -1, meaning a strong inverse relationship.</t>
  </si>
  <si>
    <t>A scatter plot with a downward line showing the negative correlation. “Thus, the correlation between X and Y is negative.”</t>
  </si>
  <si>
    <t>Portfolio A(X)</t>
  </si>
  <si>
    <t>Portfolio B (Y)</t>
  </si>
  <si>
    <t>Calculate Correlation:-</t>
  </si>
  <si>
    <t xml:space="preserve">Thus, Covariance = 2.4 Correlation coefficient = 0.99 </t>
  </si>
  <si>
    <t>Interpretation:</t>
  </si>
  <si>
    <t>The correlation is very close to +1, which means the two portfolios move almost perfectly together. When Portfolio A’s returns increase, Portfolio B’s returns also increase, and vice versa.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</si>
</sst>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1" fillId="2" borderId="0" xfId="0" applyFont="1" applyFill="1"/>
    <xf numFmtId="49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'Q9'!$A$4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'Q9'!$B$3:$F$3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'Q9'!$B$4:$F$4</c:f>
              <c:numCache>
                <c:formatCode>General</c:formatCode>
                <c:ptCount val="5"/>
                <c:pt idx="0">
                  <c:v>15</c:v>
                </c:pt>
                <c:pt idx="1">
                  <c:v>12</c:v>
                </c:pt>
                <c:pt idx="2">
                  <c:v>9</c:v>
                </c:pt>
                <c:pt idx="3">
                  <c:v>7</c:v>
                </c:pt>
                <c:pt idx="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51-4A0E-955E-B20390E28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377936"/>
        <c:axId val="1873378416"/>
      </c:scatterChart>
      <c:valAx>
        <c:axId val="187337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378416"/>
        <c:crosses val="autoZero"/>
        <c:crossBetween val="midCat"/>
      </c:valAx>
      <c:valAx>
        <c:axId val="187337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37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251460</xdr:colOff>
      <xdr:row>7</xdr:row>
      <xdr:rowOff>102870</xdr:rowOff>
    </xdr:from>
    <xdr:to>
      <xdr:col>19</xdr:col>
      <xdr:colOff>556260</xdr:colOff>
      <xdr:row>22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A58DCF-B5A8-B753-4DD2-58FEED7A7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FBC5-CC8D-474C-855C-4607C7BED5CA}">
  <dimension ref="A1:D20"/>
  <sheetViews>
    <sheetView workbookViewId="0">
      <selection activeCell="I16" sqref="I16"/>
    </sheetView>
  </sheetViews>
  <sheetFormatPr defaultRowHeight="14.4" x14ac:dyDescent="0.3"/>
  <sheetData>
    <row r="1" spans="1:3" x14ac:dyDescent="0.3">
      <c r="A1" s="1" t="s">
        <v>0</v>
      </c>
      <c r="B1" t="s">
        <v>1</v>
      </c>
    </row>
    <row r="4" spans="1:3" x14ac:dyDescent="0.3">
      <c r="A4" s="1" t="s">
        <v>2</v>
      </c>
    </row>
    <row r="5" spans="1:3" x14ac:dyDescent="0.3">
      <c r="A5" t="s">
        <v>18</v>
      </c>
    </row>
    <row r="6" spans="1:3" x14ac:dyDescent="0.3">
      <c r="A6" t="s">
        <v>19</v>
      </c>
    </row>
    <row r="7" spans="1:3" x14ac:dyDescent="0.3">
      <c r="A7" t="s">
        <v>21</v>
      </c>
    </row>
    <row r="8" spans="1:3" x14ac:dyDescent="0.3">
      <c r="A8" t="s">
        <v>20</v>
      </c>
    </row>
    <row r="9" spans="1:3" x14ac:dyDescent="0.3">
      <c r="A9" t="s">
        <v>30</v>
      </c>
    </row>
    <row r="10" spans="1:3" x14ac:dyDescent="0.3">
      <c r="A10" t="s">
        <v>22</v>
      </c>
    </row>
    <row r="11" spans="1:3" x14ac:dyDescent="0.3">
      <c r="B11" s="1" t="s">
        <v>23</v>
      </c>
      <c r="C11" s="1" t="s">
        <v>24</v>
      </c>
    </row>
    <row r="12" spans="1:3" x14ac:dyDescent="0.3">
      <c r="B12" s="1"/>
      <c r="C12" s="1"/>
    </row>
    <row r="13" spans="1:3" x14ac:dyDescent="0.3">
      <c r="A13" t="s">
        <v>25</v>
      </c>
    </row>
    <row r="14" spans="1:3" x14ac:dyDescent="0.3">
      <c r="A14" t="s">
        <v>26</v>
      </c>
    </row>
    <row r="15" spans="1:3" x14ac:dyDescent="0.3">
      <c r="A15" t="s">
        <v>31</v>
      </c>
    </row>
    <row r="16" spans="1:3" x14ac:dyDescent="0.3">
      <c r="A16" t="s">
        <v>27</v>
      </c>
    </row>
    <row r="17" spans="1:4" x14ac:dyDescent="0.3">
      <c r="A17" t="s">
        <v>28</v>
      </c>
    </row>
    <row r="18" spans="1:4" x14ac:dyDescent="0.3">
      <c r="A18" t="s">
        <v>29</v>
      </c>
    </row>
    <row r="19" spans="1:4" x14ac:dyDescent="0.3">
      <c r="A19" t="s">
        <v>22</v>
      </c>
    </row>
    <row r="20" spans="1:4" x14ac:dyDescent="0.3">
      <c r="B20" s="1" t="s">
        <v>32</v>
      </c>
      <c r="C20" s="1"/>
      <c r="D20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BF703-8D53-4E28-B990-3B6C0F08F885}">
  <dimension ref="A1:B19"/>
  <sheetViews>
    <sheetView workbookViewId="0">
      <selection activeCell="F12" sqref="F12"/>
    </sheetView>
  </sheetViews>
  <sheetFormatPr defaultRowHeight="14.4" x14ac:dyDescent="0.3"/>
  <sheetData>
    <row r="1" spans="1:2" x14ac:dyDescent="0.3">
      <c r="A1" s="1" t="s">
        <v>0</v>
      </c>
      <c r="B1" t="s">
        <v>3</v>
      </c>
    </row>
    <row r="3" spans="1:2" x14ac:dyDescent="0.3">
      <c r="A3" s="1" t="s">
        <v>2</v>
      </c>
    </row>
    <row r="4" spans="1:2" x14ac:dyDescent="0.3">
      <c r="A4" t="s">
        <v>34</v>
      </c>
    </row>
    <row r="6" spans="1:2" x14ac:dyDescent="0.3">
      <c r="A6" s="1" t="s">
        <v>35</v>
      </c>
    </row>
    <row r="7" spans="1:2" x14ac:dyDescent="0.3">
      <c r="A7" t="s">
        <v>36</v>
      </c>
    </row>
    <row r="8" spans="1:2" x14ac:dyDescent="0.3">
      <c r="A8" t="s">
        <v>37</v>
      </c>
    </row>
    <row r="9" spans="1:2" x14ac:dyDescent="0.3">
      <c r="A9" t="s">
        <v>41</v>
      </c>
    </row>
    <row r="11" spans="1:2" x14ac:dyDescent="0.3">
      <c r="A11" s="1" t="s">
        <v>38</v>
      </c>
    </row>
    <row r="12" spans="1:2" x14ac:dyDescent="0.3">
      <c r="A12" t="s">
        <v>39</v>
      </c>
    </row>
    <row r="13" spans="1:2" x14ac:dyDescent="0.3">
      <c r="A13" t="s">
        <v>40</v>
      </c>
    </row>
    <row r="14" spans="1:2" x14ac:dyDescent="0.3">
      <c r="A14" t="s">
        <v>42</v>
      </c>
    </row>
    <row r="16" spans="1:2" x14ac:dyDescent="0.3">
      <c r="A16" s="1" t="s">
        <v>43</v>
      </c>
    </row>
    <row r="17" spans="1:1" x14ac:dyDescent="0.3">
      <c r="A17" t="s">
        <v>44</v>
      </c>
    </row>
    <row r="18" spans="1:1" x14ac:dyDescent="0.3">
      <c r="A18" t="s">
        <v>45</v>
      </c>
    </row>
    <row r="19" spans="1:1" x14ac:dyDescent="0.3">
      <c r="A19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8AB1-84A4-4E6A-973D-7EFD6239CAD5}">
  <dimension ref="A1:D15"/>
  <sheetViews>
    <sheetView workbookViewId="0">
      <selection activeCell="F14" sqref="F14"/>
    </sheetView>
  </sheetViews>
  <sheetFormatPr defaultRowHeight="14.4" x14ac:dyDescent="0.3"/>
  <sheetData>
    <row r="1" spans="1:4" x14ac:dyDescent="0.3">
      <c r="A1" s="2" t="s">
        <v>0</v>
      </c>
      <c r="B1" t="s">
        <v>4</v>
      </c>
    </row>
    <row r="3" spans="1:4" x14ac:dyDescent="0.3">
      <c r="A3" s="1" t="s">
        <v>2</v>
      </c>
    </row>
    <row r="5" spans="1:4" x14ac:dyDescent="0.3">
      <c r="A5" s="1" t="s">
        <v>47</v>
      </c>
      <c r="D5" t="s">
        <v>48</v>
      </c>
    </row>
    <row r="6" spans="1:4" x14ac:dyDescent="0.3">
      <c r="A6" t="s">
        <v>50</v>
      </c>
    </row>
    <row r="7" spans="1:4" x14ac:dyDescent="0.3">
      <c r="A7" t="s">
        <v>51</v>
      </c>
    </row>
    <row r="8" spans="1:4" x14ac:dyDescent="0.3">
      <c r="A8" t="s">
        <v>49</v>
      </c>
    </row>
    <row r="10" spans="1:4" x14ac:dyDescent="0.3">
      <c r="A10" t="s">
        <v>52</v>
      </c>
    </row>
    <row r="11" spans="1:4" x14ac:dyDescent="0.3">
      <c r="A11" t="s">
        <v>53</v>
      </c>
    </row>
    <row r="13" spans="1:4" x14ac:dyDescent="0.3">
      <c r="A13" s="1" t="s">
        <v>54</v>
      </c>
      <c r="D13" t="s">
        <v>55</v>
      </c>
    </row>
    <row r="14" spans="1:4" x14ac:dyDescent="0.3">
      <c r="A14" t="s">
        <v>56</v>
      </c>
    </row>
    <row r="15" spans="1:4" x14ac:dyDescent="0.3">
      <c r="A15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6CF40-7AF7-4264-A385-D960E29181B7}">
  <dimension ref="A1:B24"/>
  <sheetViews>
    <sheetView workbookViewId="0">
      <selection activeCell="A24" sqref="A24"/>
    </sheetView>
  </sheetViews>
  <sheetFormatPr defaultRowHeight="14.4" x14ac:dyDescent="0.3"/>
  <sheetData>
    <row r="1" spans="1:2" x14ac:dyDescent="0.3">
      <c r="A1" s="2" t="s">
        <v>0</v>
      </c>
      <c r="B1" t="s">
        <v>5</v>
      </c>
    </row>
    <row r="3" spans="1:2" x14ac:dyDescent="0.3">
      <c r="A3" s="1" t="s">
        <v>2</v>
      </c>
    </row>
    <row r="4" spans="1:2" x14ac:dyDescent="0.3">
      <c r="A4" s="1" t="s">
        <v>58</v>
      </c>
    </row>
    <row r="5" spans="1:2" x14ac:dyDescent="0.3">
      <c r="A5" t="s">
        <v>59</v>
      </c>
    </row>
    <row r="6" spans="1:2" x14ac:dyDescent="0.3">
      <c r="A6" t="s">
        <v>60</v>
      </c>
    </row>
    <row r="7" spans="1:2" x14ac:dyDescent="0.3">
      <c r="A7" t="s">
        <v>61</v>
      </c>
    </row>
    <row r="8" spans="1:2" x14ac:dyDescent="0.3">
      <c r="A8" t="s">
        <v>62</v>
      </c>
    </row>
    <row r="9" spans="1:2" x14ac:dyDescent="0.3">
      <c r="A9" t="s">
        <v>63</v>
      </c>
    </row>
    <row r="10" spans="1:2" x14ac:dyDescent="0.3">
      <c r="A10" t="s">
        <v>64</v>
      </c>
    </row>
    <row r="11" spans="1:2" x14ac:dyDescent="0.3">
      <c r="A11" t="s">
        <v>65</v>
      </c>
    </row>
    <row r="12" spans="1:2" x14ac:dyDescent="0.3">
      <c r="A12" t="s">
        <v>66</v>
      </c>
    </row>
    <row r="14" spans="1:2" x14ac:dyDescent="0.3">
      <c r="A14" s="1" t="s">
        <v>67</v>
      </c>
    </row>
    <row r="15" spans="1:2" x14ac:dyDescent="0.3">
      <c r="A15" t="s">
        <v>68</v>
      </c>
    </row>
    <row r="16" spans="1:2" x14ac:dyDescent="0.3">
      <c r="A16" t="s">
        <v>69</v>
      </c>
    </row>
    <row r="17" spans="1:1" x14ac:dyDescent="0.3">
      <c r="A17" t="s">
        <v>70</v>
      </c>
    </row>
    <row r="18" spans="1:1" x14ac:dyDescent="0.3">
      <c r="A18" t="s">
        <v>71</v>
      </c>
    </row>
    <row r="19" spans="1:1" x14ac:dyDescent="0.3">
      <c r="A19" t="s">
        <v>72</v>
      </c>
    </row>
    <row r="21" spans="1:1" x14ac:dyDescent="0.3">
      <c r="A21" s="1" t="s">
        <v>73</v>
      </c>
    </row>
    <row r="22" spans="1:1" x14ac:dyDescent="0.3">
      <c r="A22" t="s">
        <v>74</v>
      </c>
    </row>
    <row r="23" spans="1:1" x14ac:dyDescent="0.3">
      <c r="A23" t="s">
        <v>75</v>
      </c>
    </row>
    <row r="24" spans="1:1" x14ac:dyDescent="0.3">
      <c r="A24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F885-740C-4CE0-9295-678C11858D21}">
  <dimension ref="A1:B19"/>
  <sheetViews>
    <sheetView workbookViewId="0">
      <selection activeCell="D15" sqref="D15"/>
    </sheetView>
  </sheetViews>
  <sheetFormatPr defaultRowHeight="14.4" x14ac:dyDescent="0.3"/>
  <sheetData>
    <row r="1" spans="1:2" x14ac:dyDescent="0.3">
      <c r="A1" s="2" t="s">
        <v>0</v>
      </c>
      <c r="B1" t="s">
        <v>6</v>
      </c>
    </row>
    <row r="3" spans="1:2" x14ac:dyDescent="0.3">
      <c r="A3" s="1" t="s">
        <v>2</v>
      </c>
    </row>
    <row r="5" spans="1:2" x14ac:dyDescent="0.3">
      <c r="A5" s="1" t="s">
        <v>77</v>
      </c>
    </row>
    <row r="6" spans="1:2" x14ac:dyDescent="0.3">
      <c r="A6" t="s">
        <v>88</v>
      </c>
    </row>
    <row r="7" spans="1:2" x14ac:dyDescent="0.3">
      <c r="A7" t="s">
        <v>78</v>
      </c>
    </row>
    <row r="8" spans="1:2" x14ac:dyDescent="0.3">
      <c r="A8" t="s">
        <v>79</v>
      </c>
    </row>
    <row r="10" spans="1:2" x14ac:dyDescent="0.3">
      <c r="A10" s="1" t="s">
        <v>80</v>
      </c>
    </row>
    <row r="11" spans="1:2" x14ac:dyDescent="0.3">
      <c r="A11" t="s">
        <v>81</v>
      </c>
    </row>
    <row r="13" spans="1:2" x14ac:dyDescent="0.3">
      <c r="A13" t="s">
        <v>82</v>
      </c>
    </row>
    <row r="14" spans="1:2" x14ac:dyDescent="0.3">
      <c r="A14" t="s">
        <v>83</v>
      </c>
    </row>
    <row r="15" spans="1:2" x14ac:dyDescent="0.3">
      <c r="A15" t="s">
        <v>84</v>
      </c>
    </row>
    <row r="16" spans="1:2" x14ac:dyDescent="0.3">
      <c r="A16" t="s">
        <v>85</v>
      </c>
    </row>
    <row r="18" spans="1:1" x14ac:dyDescent="0.3">
      <c r="A18" t="s">
        <v>86</v>
      </c>
    </row>
    <row r="19" spans="1:1" x14ac:dyDescent="0.3">
      <c r="A19" t="s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CDED-EBEC-497A-A5A6-6FDA9E5E710C}">
  <dimension ref="A1:E29"/>
  <sheetViews>
    <sheetView topLeftCell="A5" workbookViewId="0">
      <selection activeCell="F23" sqref="F23"/>
    </sheetView>
  </sheetViews>
  <sheetFormatPr defaultRowHeight="14.4" x14ac:dyDescent="0.3"/>
  <sheetData>
    <row r="1" spans="1:5" x14ac:dyDescent="0.3">
      <c r="A1" s="2" t="s">
        <v>0</v>
      </c>
      <c r="B1" t="s">
        <v>7</v>
      </c>
    </row>
    <row r="3" spans="1:5" x14ac:dyDescent="0.3">
      <c r="A3" s="4" t="s">
        <v>8</v>
      </c>
      <c r="B3" s="3">
        <v>2</v>
      </c>
      <c r="C3" s="3">
        <v>4</v>
      </c>
      <c r="D3" s="3">
        <v>6</v>
      </c>
      <c r="E3" s="3">
        <v>8</v>
      </c>
    </row>
    <row r="4" spans="1:5" x14ac:dyDescent="0.3">
      <c r="A4" s="4" t="s">
        <v>9</v>
      </c>
      <c r="B4" s="3">
        <v>3</v>
      </c>
      <c r="C4" s="3">
        <v>7</v>
      </c>
      <c r="D4" s="3">
        <v>5</v>
      </c>
      <c r="E4" s="3">
        <v>10</v>
      </c>
    </row>
    <row r="6" spans="1:5" x14ac:dyDescent="0.3">
      <c r="A6" s="1" t="s">
        <v>10</v>
      </c>
    </row>
    <row r="7" spans="1:5" x14ac:dyDescent="0.3">
      <c r="A7" s="1" t="s">
        <v>22</v>
      </c>
      <c r="B7" t="s">
        <v>89</v>
      </c>
    </row>
    <row r="8" spans="1:5" x14ac:dyDescent="0.3">
      <c r="A8" s="1"/>
    </row>
    <row r="9" spans="1:5" x14ac:dyDescent="0.3">
      <c r="A9" s="3" t="s">
        <v>90</v>
      </c>
      <c r="B9" s="7">
        <f>AVERAGE($B3:$E3)</f>
        <v>5</v>
      </c>
    </row>
    <row r="10" spans="1:5" x14ac:dyDescent="0.3">
      <c r="A10" s="3" t="s">
        <v>91</v>
      </c>
      <c r="B10" s="7">
        <f>AVERAGE(B4:E4)</f>
        <v>6.25</v>
      </c>
    </row>
    <row r="12" spans="1:5" x14ac:dyDescent="0.3">
      <c r="A12" s="4" t="s">
        <v>8</v>
      </c>
      <c r="B12" s="4" t="s">
        <v>9</v>
      </c>
      <c r="C12" s="4" t="s">
        <v>92</v>
      </c>
      <c r="D12" s="4" t="s">
        <v>93</v>
      </c>
      <c r="E12" s="4" t="s">
        <v>94</v>
      </c>
    </row>
    <row r="13" spans="1:5" x14ac:dyDescent="0.3">
      <c r="A13" s="3">
        <v>2</v>
      </c>
      <c r="B13" s="3">
        <v>3</v>
      </c>
      <c r="C13" s="3">
        <f>$A13-$B$9</f>
        <v>-3</v>
      </c>
      <c r="D13" s="3">
        <f>$B13-$B$10</f>
        <v>-3.25</v>
      </c>
      <c r="E13" s="3">
        <f>$C13*$D13</f>
        <v>9.75</v>
      </c>
    </row>
    <row r="14" spans="1:5" x14ac:dyDescent="0.3">
      <c r="A14" s="3">
        <v>4</v>
      </c>
      <c r="B14" s="3">
        <v>7</v>
      </c>
      <c r="C14" s="3">
        <f t="shared" ref="C14:C16" si="0">$A14-$B$9</f>
        <v>-1</v>
      </c>
      <c r="D14" s="3">
        <f t="shared" ref="D14:D16" si="1">$B14-$B$10</f>
        <v>0.75</v>
      </c>
      <c r="E14" s="3">
        <f t="shared" ref="E14:E16" si="2">$C14*$D14</f>
        <v>-0.75</v>
      </c>
    </row>
    <row r="15" spans="1:5" x14ac:dyDescent="0.3">
      <c r="A15" s="3">
        <v>6</v>
      </c>
      <c r="B15" s="3">
        <v>5</v>
      </c>
      <c r="C15" s="3">
        <f t="shared" si="0"/>
        <v>1</v>
      </c>
      <c r="D15" s="3">
        <f t="shared" si="1"/>
        <v>-1.25</v>
      </c>
      <c r="E15" s="3">
        <f t="shared" si="2"/>
        <v>-1.25</v>
      </c>
    </row>
    <row r="16" spans="1:5" x14ac:dyDescent="0.3">
      <c r="A16" s="3">
        <v>8</v>
      </c>
      <c r="B16" s="3">
        <v>10</v>
      </c>
      <c r="C16" s="3">
        <f t="shared" si="0"/>
        <v>3</v>
      </c>
      <c r="D16" s="3">
        <f t="shared" si="1"/>
        <v>3.75</v>
      </c>
      <c r="E16" s="3">
        <f t="shared" si="2"/>
        <v>11.25</v>
      </c>
    </row>
    <row r="18" spans="1:3" x14ac:dyDescent="0.3">
      <c r="A18" s="1" t="s">
        <v>95</v>
      </c>
      <c r="B18" s="1"/>
      <c r="C18" s="8">
        <f>SUM(E13:E16)</f>
        <v>19</v>
      </c>
    </row>
    <row r="19" spans="1:3" x14ac:dyDescent="0.3">
      <c r="A19" t="s">
        <v>96</v>
      </c>
      <c r="B19" s="9" t="s">
        <v>97</v>
      </c>
      <c r="C19" s="8">
        <v>3</v>
      </c>
    </row>
    <row r="21" spans="1:3" x14ac:dyDescent="0.3">
      <c r="A21" s="1" t="s">
        <v>23</v>
      </c>
      <c r="B21" s="8">
        <f>C18/C19</f>
        <v>6.333333333333333</v>
      </c>
    </row>
    <row r="23" spans="1:3" x14ac:dyDescent="0.3">
      <c r="A23" s="1" t="s">
        <v>98</v>
      </c>
    </row>
    <row r="25" spans="1:3" x14ac:dyDescent="0.3">
      <c r="A25" s="1" t="s">
        <v>23</v>
      </c>
      <c r="B25" s="8">
        <f>_xlfn.COVARIANCE.S(B3:E3,B4:E4)</f>
        <v>6.333333333333333</v>
      </c>
    </row>
    <row r="27" spans="1:3" x14ac:dyDescent="0.3">
      <c r="A27" s="1" t="s">
        <v>99</v>
      </c>
    </row>
    <row r="28" spans="1:3" x14ac:dyDescent="0.3">
      <c r="A28" t="s">
        <v>100</v>
      </c>
    </row>
    <row r="29" spans="1:3" x14ac:dyDescent="0.3">
      <c r="A29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2AA05-A579-4FCE-9226-8475A5509C53}">
  <dimension ref="A1:F22"/>
  <sheetViews>
    <sheetView workbookViewId="0">
      <selection activeCell="A12" sqref="A12:A15"/>
    </sheetView>
  </sheetViews>
  <sheetFormatPr defaultRowHeight="14.4" x14ac:dyDescent="0.3"/>
  <sheetData>
    <row r="1" spans="1:6" x14ac:dyDescent="0.3">
      <c r="A1" s="2" t="s">
        <v>0</v>
      </c>
      <c r="B1" t="s">
        <v>11</v>
      </c>
    </row>
    <row r="3" spans="1:6" x14ac:dyDescent="0.3">
      <c r="A3" s="4" t="s">
        <v>12</v>
      </c>
      <c r="B3" s="3">
        <v>10</v>
      </c>
      <c r="C3" s="3">
        <v>20</v>
      </c>
      <c r="D3" s="3">
        <v>30</v>
      </c>
      <c r="E3" s="3">
        <v>40</v>
      </c>
      <c r="F3" s="3">
        <v>50</v>
      </c>
    </row>
    <row r="4" spans="1:6" x14ac:dyDescent="0.3">
      <c r="A4" s="4" t="s">
        <v>13</v>
      </c>
      <c r="B4" s="3">
        <v>8</v>
      </c>
      <c r="C4" s="3">
        <v>14</v>
      </c>
      <c r="D4" s="3">
        <v>18</v>
      </c>
      <c r="E4" s="3">
        <v>24</v>
      </c>
      <c r="F4" s="3">
        <v>28</v>
      </c>
    </row>
    <row r="6" spans="1:6" x14ac:dyDescent="0.3">
      <c r="A6" s="1" t="s">
        <v>2</v>
      </c>
    </row>
    <row r="8" spans="1:6" x14ac:dyDescent="0.3">
      <c r="A8" s="1" t="s">
        <v>102</v>
      </c>
      <c r="B8" t="s">
        <v>103</v>
      </c>
      <c r="E8" t="s">
        <v>105</v>
      </c>
    </row>
    <row r="10" spans="1:6" x14ac:dyDescent="0.3">
      <c r="A10" t="s">
        <v>108</v>
      </c>
    </row>
    <row r="12" spans="1:6" x14ac:dyDescent="0.3">
      <c r="A12" s="1" t="s">
        <v>104</v>
      </c>
      <c r="B12" s="8">
        <f>_xlfn.COVARIANCE.P(B3:F3,B4:F4)</f>
        <v>100</v>
      </c>
    </row>
    <row r="13" spans="1:6" x14ac:dyDescent="0.3">
      <c r="A13" s="1" t="s">
        <v>107</v>
      </c>
      <c r="B13" s="8">
        <f>_xlfn.STDEV.P(B3:F3)</f>
        <v>14.142135623730951</v>
      </c>
    </row>
    <row r="14" spans="1:6" x14ac:dyDescent="0.3">
      <c r="A14" s="1" t="s">
        <v>106</v>
      </c>
      <c r="B14" s="8">
        <f>_xlfn.STDEV.P(B4:F4)</f>
        <v>7.0880180586677399</v>
      </c>
    </row>
    <row r="15" spans="1:6" x14ac:dyDescent="0.3">
      <c r="A15" s="1" t="s">
        <v>109</v>
      </c>
      <c r="B15" s="8">
        <f>B13*B14</f>
        <v>100.23971268913334</v>
      </c>
    </row>
    <row r="17" spans="1:2" x14ac:dyDescent="0.3">
      <c r="A17" t="s">
        <v>103</v>
      </c>
    </row>
    <row r="18" spans="1:2" x14ac:dyDescent="0.3">
      <c r="A18" s="1" t="s">
        <v>110</v>
      </c>
      <c r="B18" s="8">
        <f>B12/B15</f>
        <v>0.99760860558452769</v>
      </c>
    </row>
    <row r="20" spans="1:2" x14ac:dyDescent="0.3">
      <c r="A20" s="1" t="s">
        <v>111</v>
      </c>
    </row>
    <row r="21" spans="1:2" x14ac:dyDescent="0.3">
      <c r="A21" t="s">
        <v>112</v>
      </c>
    </row>
    <row r="22" spans="1:2" x14ac:dyDescent="0.3">
      <c r="A22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24B6-0A79-4831-94A1-A1C021EBF8F8}">
  <dimension ref="A1:I23"/>
  <sheetViews>
    <sheetView workbookViewId="0">
      <selection activeCell="A12" sqref="A12:A14"/>
    </sheetView>
  </sheetViews>
  <sheetFormatPr defaultRowHeight="14.4" x14ac:dyDescent="0.3"/>
  <sheetData>
    <row r="1" spans="1:9" x14ac:dyDescent="0.3">
      <c r="A1" s="2" t="s">
        <v>0</v>
      </c>
      <c r="B1" t="s">
        <v>14</v>
      </c>
    </row>
    <row r="3" spans="1:9" x14ac:dyDescent="0.3">
      <c r="A3" s="4" t="s">
        <v>115</v>
      </c>
      <c r="B3" s="3">
        <v>150</v>
      </c>
      <c r="C3" s="3">
        <v>160</v>
      </c>
      <c r="D3" s="3">
        <v>165</v>
      </c>
      <c r="E3" s="3">
        <v>170</v>
      </c>
      <c r="F3" s="3">
        <v>180</v>
      </c>
    </row>
    <row r="4" spans="1:9" x14ac:dyDescent="0.3">
      <c r="A4" s="4" t="s">
        <v>116</v>
      </c>
      <c r="B4" s="3">
        <v>50</v>
      </c>
      <c r="C4" s="3">
        <v>55</v>
      </c>
      <c r="D4" s="3">
        <v>58</v>
      </c>
      <c r="E4" s="3">
        <v>62</v>
      </c>
      <c r="F4" s="3">
        <v>70</v>
      </c>
    </row>
    <row r="6" spans="1:9" x14ac:dyDescent="0.3">
      <c r="A6" s="1" t="s">
        <v>2</v>
      </c>
    </row>
    <row r="7" spans="1:9" x14ac:dyDescent="0.3">
      <c r="A7" t="s">
        <v>114</v>
      </c>
      <c r="F7" t="s">
        <v>103</v>
      </c>
      <c r="I7" t="s">
        <v>105</v>
      </c>
    </row>
    <row r="9" spans="1:9" x14ac:dyDescent="0.3">
      <c r="A9" t="s">
        <v>108</v>
      </c>
    </row>
    <row r="11" spans="1:9" x14ac:dyDescent="0.3">
      <c r="A11" s="4" t="s">
        <v>117</v>
      </c>
      <c r="B11" s="10">
        <f>_xlfn.COVARIANCE.P(B3:F3,B4:F4)</f>
        <v>67</v>
      </c>
    </row>
    <row r="12" spans="1:9" x14ac:dyDescent="0.3">
      <c r="A12" s="4" t="s">
        <v>118</v>
      </c>
      <c r="B12" s="10">
        <f>_xlfn.STDEV.P(B3:F3)</f>
        <v>10</v>
      </c>
    </row>
    <row r="13" spans="1:9" x14ac:dyDescent="0.3">
      <c r="A13" s="4" t="s">
        <v>119</v>
      </c>
      <c r="B13" s="10">
        <f>_xlfn.STDEV.P(B4:F4)</f>
        <v>6.7527772064536533</v>
      </c>
    </row>
    <row r="14" spans="1:9" x14ac:dyDescent="0.3">
      <c r="A14" s="4" t="s">
        <v>120</v>
      </c>
      <c r="B14" s="10">
        <f>B12*B13</f>
        <v>67.527772064536535</v>
      </c>
    </row>
    <row r="16" spans="1:9" x14ac:dyDescent="0.3">
      <c r="A16" t="s">
        <v>103</v>
      </c>
    </row>
    <row r="17" spans="1:2" x14ac:dyDescent="0.3">
      <c r="A17" s="1" t="s">
        <v>110</v>
      </c>
      <c r="B17" s="8">
        <f>B11/B14</f>
        <v>0.99218437024647965</v>
      </c>
    </row>
    <row r="19" spans="1:2" x14ac:dyDescent="0.3">
      <c r="A19" s="1" t="s">
        <v>99</v>
      </c>
    </row>
    <row r="20" spans="1:2" x14ac:dyDescent="0.3">
      <c r="A20" t="s">
        <v>121</v>
      </c>
    </row>
    <row r="21" spans="1:2" x14ac:dyDescent="0.3">
      <c r="A21" t="s">
        <v>122</v>
      </c>
    </row>
    <row r="22" spans="1:2" x14ac:dyDescent="0.3">
      <c r="A22" t="s">
        <v>123</v>
      </c>
    </row>
    <row r="23" spans="1:2" x14ac:dyDescent="0.3">
      <c r="A23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E0D36-4F5F-400A-9FA5-78DBE3BDD22F}">
  <dimension ref="A1:F14"/>
  <sheetViews>
    <sheetView workbookViewId="0">
      <selection activeCell="K20" sqref="K20"/>
    </sheetView>
  </sheetViews>
  <sheetFormatPr defaultRowHeight="14.4" x14ac:dyDescent="0.3"/>
  <sheetData>
    <row r="1" spans="1:6" x14ac:dyDescent="0.3">
      <c r="A1" s="2" t="s">
        <v>0</v>
      </c>
      <c r="B1" t="s">
        <v>15</v>
      </c>
    </row>
    <row r="3" spans="1:6" x14ac:dyDescent="0.3">
      <c r="A3" s="4" t="s">
        <v>8</v>
      </c>
      <c r="B3" s="3">
        <v>1</v>
      </c>
      <c r="C3" s="3">
        <v>2</v>
      </c>
      <c r="D3" s="3">
        <v>3</v>
      </c>
      <c r="E3" s="3">
        <v>4</v>
      </c>
      <c r="F3" s="3">
        <v>5</v>
      </c>
    </row>
    <row r="4" spans="1:6" x14ac:dyDescent="0.3">
      <c r="A4" s="4" t="s">
        <v>9</v>
      </c>
      <c r="B4" s="3">
        <v>15</v>
      </c>
      <c r="C4" s="3">
        <v>12</v>
      </c>
      <c r="D4" s="3">
        <v>9</v>
      </c>
      <c r="E4" s="3">
        <v>7</v>
      </c>
      <c r="F4" s="3">
        <v>3</v>
      </c>
    </row>
    <row r="6" spans="1:6" x14ac:dyDescent="0.3">
      <c r="A6" s="1" t="s">
        <v>2</v>
      </c>
    </row>
    <row r="7" spans="1:6" x14ac:dyDescent="0.3">
      <c r="A7" t="s">
        <v>125</v>
      </c>
    </row>
    <row r="8" spans="1:6" x14ac:dyDescent="0.3">
      <c r="A8" t="s">
        <v>126</v>
      </c>
    </row>
    <row r="9" spans="1:6" x14ac:dyDescent="0.3">
      <c r="A9" t="s">
        <v>127</v>
      </c>
    </row>
    <row r="11" spans="1:6" x14ac:dyDescent="0.3">
      <c r="A11" t="s">
        <v>128</v>
      </c>
    </row>
    <row r="12" spans="1:6" x14ac:dyDescent="0.3">
      <c r="A12" t="s">
        <v>129</v>
      </c>
    </row>
    <row r="14" spans="1:6" x14ac:dyDescent="0.3">
      <c r="A14" t="s">
        <v>130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C323-1919-46CB-A3B3-CCA94FEFF070}">
  <dimension ref="A1:D26"/>
  <sheetViews>
    <sheetView tabSelected="1" workbookViewId="0">
      <selection activeCell="G16" sqref="G16"/>
    </sheetView>
  </sheetViews>
  <sheetFormatPr defaultRowHeight="14.4" x14ac:dyDescent="0.3"/>
  <cols>
    <col min="3" max="3" width="12.44140625" bestFit="1" customWidth="1"/>
    <col min="4" max="4" width="12.6640625" bestFit="1" customWidth="1"/>
  </cols>
  <sheetData>
    <row r="1" spans="1:4" x14ac:dyDescent="0.3">
      <c r="A1" s="1" t="s">
        <v>0</v>
      </c>
      <c r="B1" t="s">
        <v>16</v>
      </c>
    </row>
    <row r="3" spans="1:4" x14ac:dyDescent="0.3">
      <c r="B3" s="6" t="s">
        <v>17</v>
      </c>
      <c r="C3" s="6" t="s">
        <v>131</v>
      </c>
      <c r="D3" s="6" t="s">
        <v>132</v>
      </c>
    </row>
    <row r="4" spans="1:4" x14ac:dyDescent="0.3">
      <c r="B4" s="5">
        <v>1</v>
      </c>
      <c r="C4" s="5">
        <v>8</v>
      </c>
      <c r="D4" s="5">
        <v>6</v>
      </c>
    </row>
    <row r="5" spans="1:4" x14ac:dyDescent="0.3">
      <c r="B5" s="5">
        <v>2</v>
      </c>
      <c r="C5" s="5">
        <v>10</v>
      </c>
      <c r="D5" s="5">
        <v>9</v>
      </c>
    </row>
    <row r="6" spans="1:4" x14ac:dyDescent="0.3">
      <c r="B6" s="5">
        <v>3</v>
      </c>
      <c r="C6" s="5">
        <v>12</v>
      </c>
      <c r="D6" s="5">
        <v>11</v>
      </c>
    </row>
    <row r="7" spans="1:4" x14ac:dyDescent="0.3">
      <c r="B7" s="5">
        <v>4</v>
      </c>
      <c r="C7" s="5">
        <v>9</v>
      </c>
      <c r="D7" s="5">
        <v>8</v>
      </c>
    </row>
    <row r="8" spans="1:4" x14ac:dyDescent="0.3">
      <c r="B8" s="5">
        <v>5</v>
      </c>
      <c r="C8" s="5">
        <v>11</v>
      </c>
      <c r="D8" s="5">
        <v>10</v>
      </c>
    </row>
    <row r="10" spans="1:4" x14ac:dyDescent="0.3">
      <c r="A10" s="1" t="s">
        <v>2</v>
      </c>
    </row>
    <row r="12" spans="1:4" x14ac:dyDescent="0.3">
      <c r="A12" t="s">
        <v>108</v>
      </c>
    </row>
    <row r="14" spans="1:4" x14ac:dyDescent="0.3">
      <c r="A14" s="4" t="s">
        <v>117</v>
      </c>
      <c r="B14" s="8">
        <f>_xlfn.COVARIANCE.P(C4:C8,D4:D8)</f>
        <v>2.4</v>
      </c>
    </row>
    <row r="16" spans="1:4" x14ac:dyDescent="0.3">
      <c r="A16" s="1" t="s">
        <v>133</v>
      </c>
    </row>
    <row r="17" spans="1:3" x14ac:dyDescent="0.3">
      <c r="A17" s="4" t="s">
        <v>118</v>
      </c>
      <c r="B17" s="10">
        <f>_xlfn.STDEV.P(C4:C8)</f>
        <v>1.4142135623730951</v>
      </c>
    </row>
    <row r="18" spans="1:3" x14ac:dyDescent="0.3">
      <c r="A18" s="4" t="s">
        <v>119</v>
      </c>
      <c r="B18" s="10">
        <f>_xlfn.STDEV.P(D4:D8)</f>
        <v>1.7204650534085253</v>
      </c>
    </row>
    <row r="19" spans="1:3" x14ac:dyDescent="0.3">
      <c r="A19" s="4" t="s">
        <v>120</v>
      </c>
      <c r="B19" s="10">
        <f>B17*B18</f>
        <v>2.4331050121192881</v>
      </c>
    </row>
    <row r="21" spans="1:3" x14ac:dyDescent="0.3">
      <c r="A21" s="1" t="s">
        <v>32</v>
      </c>
      <c r="C21" s="8">
        <f>B14/B19</f>
        <v>0.98639392383214364</v>
      </c>
    </row>
    <row r="23" spans="1:3" x14ac:dyDescent="0.3">
      <c r="A23" s="1" t="s">
        <v>134</v>
      </c>
    </row>
    <row r="25" spans="1:3" x14ac:dyDescent="0.3">
      <c r="A25" s="1" t="s">
        <v>135</v>
      </c>
    </row>
    <row r="26" spans="1:3" x14ac:dyDescent="0.3">
      <c r="A2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Shirodkar</dc:creator>
  <cp:lastModifiedBy>Abhishek Shirodkar</cp:lastModifiedBy>
  <dcterms:created xsi:type="dcterms:W3CDTF">2026-01-09T14:16:02Z</dcterms:created>
  <dcterms:modified xsi:type="dcterms:W3CDTF">2026-01-16T17:27:07Z</dcterms:modified>
</cp:coreProperties>
</file>