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2e4e32c79d5415/Desktop/Hrushikesh/PW SKILLS ASSIGNMENTS/"/>
    </mc:Choice>
  </mc:AlternateContent>
  <xr:revisionPtr revIDLastSave="343" documentId="8_{E02F35CE-6789-44C4-BF12-106CD9866DBA}" xr6:coauthVersionLast="47" xr6:coauthVersionMax="47" xr10:uidLastSave="{8DEA9049-9D8E-40E0-B10A-C50331C25A08}"/>
  <bookViews>
    <workbookView xWindow="-108" yWindow="-108" windowWidth="23256" windowHeight="12456" activeTab="9" xr2:uid="{59C45CD9-04C4-4D0F-9E1E-94B8A75D9234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0" l="1"/>
  <c r="E16" i="10"/>
  <c r="E15" i="10"/>
  <c r="B15" i="10" s="1"/>
  <c r="B11" i="10"/>
  <c r="B9" i="10"/>
  <c r="B9" i="9"/>
  <c r="B10" i="9"/>
  <c r="B10" i="6"/>
  <c r="B9" i="6"/>
  <c r="B8" i="6"/>
  <c r="B10" i="5"/>
  <c r="B9" i="5"/>
  <c r="B8" i="5"/>
  <c r="B8" i="4"/>
  <c r="B8" i="3" a="1"/>
  <c r="B8" i="3" s="1"/>
  <c r="B8" i="2"/>
  <c r="C23" i="1"/>
  <c r="F15" i="1"/>
  <c r="C13" i="1"/>
  <c r="C12" i="1"/>
  <c r="F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<sst xmlns="http://schemas.openxmlformats.org/spreadsheetml/2006/main" count="107" uniqueCount="87">
  <si>
    <t>Q1: Understanding Central Tendency (Easy)</t>
  </si>
  <si>
    <t>A bakery tracks the daily sales of muffins (in dozens) over a week: [10, 12, 11, 15, 14, 13, 12].</t>
  </si>
  <si>
    <t>What is the most representative value of their weekly sales, and why?</t>
  </si>
  <si>
    <t>Q2: Mean in Real Life (Easy)</t>
  </si>
  <si>
    <t>A teacher records the marks of her students in a short quiz: [12, 15, 14, 16, 18, 20, 19]._x000B_</t>
  </si>
  <si>
    <t xml:space="preserve"> What is the mean score, and what does it tell us about the class’s performance?</t>
  </si>
  <si>
    <t>Q3: Mode in Real Life (Easy)</t>
  </si>
  <si>
    <t>A store records the shoe sizes sold in one day: [7, 8, 9, 8, 8, 10, 7, 9]._x000B_</t>
  </si>
  <si>
    <t xml:space="preserve"> What is the mode, and why is this information useful for the store manager?</t>
  </si>
  <si>
    <t>Q4: Median in Real Life (Medium)</t>
  </si>
  <si>
    <t>A car dealer notes the prices of used cars: [$8,000, $9,500, $10,200, $11,000, $50,000]._x000B_</t>
  </si>
  <si>
    <t xml:space="preserve"> Why is the median a better measure than the mean in this case? Calculate the median.</t>
  </si>
  <si>
    <t>Q5: Dispersion Introduction (Medium)</t>
  </si>
  <si>
    <t>A student times how long it takes to finish a puzzle each day: [25, 30, 27, 35, 40]._x000B_</t>
  </si>
  <si>
    <t xml:space="preserve"> What does the range tell us about the variation in the student’s puzzle-solving time? </t>
  </si>
  <si>
    <t>Q6: Range in Action (Medium)</t>
  </si>
  <si>
    <t>A farmer records the weekly weight of harvested apples (kg): [100, 105, 98, 110, 120]._x000B_</t>
  </si>
  <si>
    <t>Find the range. How can this help the farmer in planning his packaging?</t>
  </si>
  <si>
    <t>Q7: Variance for Decision-Making (Medium)</t>
  </si>
  <si>
    <t>Two delivery companies track delivery delays (in minutes).</t>
  </si>
  <si>
    <t xml:space="preserve"> Which company is more consistent, and why?</t>
  </si>
  <si>
    <t>Q8: Standard Deviation in Context (Hard)</t>
  </si>
  <si>
    <t xml:space="preserve"> Coin A: standard deviation = $30</t>
  </si>
  <si>
    <t xml:space="preserve"> Coin B: standard deviation = $120</t>
  </si>
  <si>
    <t xml:space="preserve"> Which coin is riskier to invest in, and why?</t>
  </si>
  <si>
    <t>Q9: Combining Measures (Hard)</t>
  </si>
  <si>
    <t>A family records their monthly electricity usage (in kWh): [400, 420, 390, 450, 410].</t>
  </si>
  <si>
    <t>Find the mean and standard deviation. What do these values together tell you about the family’s energy use pattern?</t>
  </si>
  <si>
    <t>Q10: Practical Application (Hard)</t>
  </si>
  <si>
    <t>A basketball player’s points in 8 games are recorded: [15, 18, 20, 22, 25, 17, 19, 21]._x000B_</t>
  </si>
  <si>
    <t xml:space="preserve"> Find the mean, median, mode, range, and standard deviation. What insights can these measures provide about the player’s scoring performance?</t>
  </si>
  <si>
    <t>Answer:-</t>
  </si>
  <si>
    <t>Mathematically:-</t>
  </si>
  <si>
    <t>Data</t>
  </si>
  <si>
    <t>Excel:-</t>
  </si>
  <si>
    <t>Calculate SUM</t>
  </si>
  <si>
    <t>Calculate Count</t>
  </si>
  <si>
    <t>Mean</t>
  </si>
  <si>
    <t>Directly by Average</t>
  </si>
  <si>
    <t>Method 1:-</t>
  </si>
  <si>
    <t>Method 2:-</t>
  </si>
  <si>
    <t>Mean Is more representative because it takes all values in account and calculate, also here the data is more consistent and there is no extreme outliers, hence Mean suitable.</t>
  </si>
  <si>
    <t>The most representative value for weekly muffins sales could be calculated by using Mean i.e Average</t>
  </si>
  <si>
    <t>Hence the most representative value of their weekly sales is 12.43 dozens.</t>
  </si>
  <si>
    <t>Also Possible Answer:-</t>
  </si>
  <si>
    <t>We can also get the most representative value of their weekly sales, by calculating Median.</t>
  </si>
  <si>
    <t xml:space="preserve">The representative value of their weekly sales </t>
  </si>
  <si>
    <t>10+12+11+15+14+13+12/7=12.42857 (≈12.43)</t>
  </si>
  <si>
    <t>This Mean score tell us that on average students scored near to 16 marks which indicates a overall good performance in class.</t>
  </si>
  <si>
    <t>Mean(Average) Score</t>
  </si>
  <si>
    <t>≈ 16.29 or 16.3</t>
  </si>
  <si>
    <t>Mode</t>
  </si>
  <si>
    <t>The mode is 8 and this information helps the store manager to understand that 8 size shoes number meet more customer demands, so he can stock them more which can help them to increase there sales more.</t>
  </si>
  <si>
    <t>Data($)</t>
  </si>
  <si>
    <t>Median</t>
  </si>
  <si>
    <r>
      <t>The</t>
    </r>
    <r>
      <rPr>
        <b/>
        <sz val="11"/>
        <color theme="1"/>
        <rFont val="Calibri"/>
        <family val="2"/>
        <scheme val="minor"/>
      </rPr>
      <t xml:space="preserve"> Median</t>
    </r>
    <r>
      <rPr>
        <sz val="11"/>
        <color theme="1"/>
        <rFont val="Calibri"/>
        <family val="2"/>
        <scheme val="minor"/>
      </rPr>
      <t xml:space="preserve"> is not affected by outliers, so it better represents the </t>
    </r>
    <r>
      <rPr>
        <b/>
        <sz val="11"/>
        <color theme="1"/>
        <rFont val="Calibri"/>
        <family val="2"/>
        <scheme val="minor"/>
      </rPr>
      <t>typical car price</t>
    </r>
    <r>
      <rPr>
        <sz val="11"/>
        <color theme="1"/>
        <rFont val="Calibri"/>
        <family val="2"/>
        <scheme val="minor"/>
      </rPr>
      <t xml:space="preserve"> most customers would expect.</t>
    </r>
  </si>
  <si>
    <r>
      <t xml:space="preserve">Therefore, the </t>
    </r>
    <r>
      <rPr>
        <b/>
        <sz val="11"/>
        <color theme="1"/>
        <rFont val="Calibri"/>
        <family val="2"/>
        <scheme val="minor"/>
      </rPr>
      <t>median of $10,200</t>
    </r>
    <r>
      <rPr>
        <sz val="11"/>
        <color theme="1"/>
        <rFont val="Calibri"/>
        <family val="2"/>
        <scheme val="minor"/>
      </rPr>
      <t xml:space="preserve"> is a more reliable measure of central tendency in this situation.</t>
    </r>
  </si>
  <si>
    <r>
      <t xml:space="preserve">The Median is better over mean because the data has </t>
    </r>
    <r>
      <rPr>
        <b/>
        <sz val="11"/>
        <color theme="1"/>
        <rFont val="Calibri"/>
        <family val="2"/>
        <scheme val="minor"/>
      </rPr>
      <t xml:space="preserve">50,000$ </t>
    </r>
    <r>
      <rPr>
        <sz val="11"/>
        <color theme="1"/>
        <rFont val="Calibri"/>
        <family val="2"/>
        <scheme val="minor"/>
      </rPr>
      <t>which is an extreme value</t>
    </r>
    <r>
      <rPr>
        <b/>
        <sz val="11"/>
        <color theme="1"/>
        <rFont val="Calibri"/>
        <family val="2"/>
        <scheme val="minor"/>
      </rPr>
      <t>(outlier)</t>
    </r>
    <r>
      <rPr>
        <sz val="11"/>
        <color theme="1"/>
        <rFont val="Calibri"/>
        <family val="2"/>
        <scheme val="minor"/>
      </rPr>
      <t xml:space="preserve"> compared to other prices.</t>
    </r>
  </si>
  <si>
    <r>
      <t xml:space="preserve">The </t>
    </r>
    <r>
      <rPr>
        <b/>
        <sz val="11"/>
        <color theme="1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 would be pulled upward by this very high price and would not reflect a typical used car price.</t>
    </r>
  </si>
  <si>
    <t>The Range tell us the difference between Longest and Shortest time taken to solve the puzzle, which means how spread out the student’s puzzle-solving times are.</t>
  </si>
  <si>
    <t>A range of 15 minutes means there is a noticeable variation between the fastest and slowest days, indicating that the student’s performance is not consistent and can change significantly from day to day.</t>
  </si>
  <si>
    <t>Maximum</t>
  </si>
  <si>
    <t>Minimum</t>
  </si>
  <si>
    <t>Maximum time to solve puzzle</t>
  </si>
  <si>
    <t>Minimum time to solve puzzle</t>
  </si>
  <si>
    <t>Range</t>
  </si>
  <si>
    <t>Data(Kg)</t>
  </si>
  <si>
    <t>The range which is 22kg shows how much the harvest varies from week to week.</t>
  </si>
  <si>
    <t>It helps the farmer plan packaging so there are enough boxes in high-yield weeks while avoiding shortages or excess packaging in low-yield weeks.</t>
  </si>
  <si>
    <t xml:space="preserve"> Company A: variance = 6 ; Company B: variance = 15</t>
  </si>
  <si>
    <r>
      <rPr>
        <b/>
        <sz val="11"/>
        <color theme="1"/>
        <rFont val="Calibri"/>
        <family val="2"/>
        <scheme val="minor"/>
      </rPr>
      <t>Company A</t>
    </r>
    <r>
      <rPr>
        <sz val="11"/>
        <color theme="1"/>
        <rFont val="Calibri"/>
        <family val="2"/>
        <scheme val="minor"/>
      </rPr>
      <t xml:space="preserve"> is more consistent</t>
    </r>
    <r>
      <rPr>
        <sz val="11"/>
        <color theme="1"/>
        <rFont val="Calibri"/>
        <family val="2"/>
        <scheme val="minor"/>
      </rPr>
      <t xml:space="preserve"> because it has a</t>
    </r>
    <r>
      <rPr>
        <b/>
        <sz val="11"/>
        <color theme="1"/>
        <rFont val="Calibri"/>
        <family val="2"/>
        <scheme val="minor"/>
      </rPr>
      <t xml:space="preserve"> lower variance (6)</t>
    </r>
    <r>
      <rPr>
        <sz val="11"/>
        <color theme="1"/>
        <rFont val="Calibri"/>
        <family val="2"/>
        <scheme val="minor"/>
      </rPr>
      <t>, meaning its delivery delays are less spread out and more predictable compared to Company B, which has a higher variance (15)</t>
    </r>
  </si>
  <si>
    <t xml:space="preserve">A finance student compares the daily price fluctuations of two cryptocurrencies. </t>
  </si>
  <si>
    <r>
      <rPr>
        <b/>
        <sz val="11"/>
        <color theme="1"/>
        <rFont val="Calibri"/>
        <family val="2"/>
        <scheme val="minor"/>
      </rPr>
      <t xml:space="preserve">Coin B </t>
    </r>
    <r>
      <rPr>
        <sz val="11"/>
        <color theme="1"/>
        <rFont val="Calibri"/>
        <family val="2"/>
        <scheme val="minor"/>
      </rPr>
      <t>is riskier to invest in</t>
    </r>
    <r>
      <rPr>
        <sz val="11"/>
        <color theme="1"/>
        <rFont val="Calibri"/>
        <family val="2"/>
        <scheme val="minor"/>
      </rPr>
      <t xml:space="preserve"> because it has a much higher standard deviation ($120), which indicates larger price fluctuations, compared to Coin A, which has more stable price movements (standard deviation of $30).</t>
    </r>
  </si>
  <si>
    <t>Standard Deviation</t>
  </si>
  <si>
    <r>
      <t xml:space="preserve">The mean of </t>
    </r>
    <r>
      <rPr>
        <b/>
        <sz val="11"/>
        <color theme="1"/>
        <rFont val="Calibri"/>
        <family val="2"/>
        <scheme val="minor"/>
      </rPr>
      <t>414 kWh</t>
    </r>
    <r>
      <rPr>
        <sz val="11"/>
        <color theme="1"/>
        <rFont val="Calibri"/>
        <family val="2"/>
        <scheme val="minor"/>
      </rPr>
      <t xml:space="preserve"> shows the family’s typical monthly electricity usage, while the standard deviation of about </t>
    </r>
    <r>
      <rPr>
        <b/>
        <sz val="11"/>
        <color theme="1"/>
        <rFont val="Calibri"/>
        <family val="2"/>
        <scheme val="minor"/>
      </rPr>
      <t>21 kWh</t>
    </r>
    <r>
      <rPr>
        <sz val="11"/>
        <color theme="1"/>
        <rFont val="Calibri"/>
        <family val="2"/>
        <scheme val="minor"/>
      </rPr>
      <t xml:space="preserve"> indicates that their usage does not vary much from month to month.</t>
    </r>
  </si>
  <si>
    <t>Together, these values indicates consistent and stable energy consumption pattern.</t>
  </si>
  <si>
    <t>Range:-</t>
  </si>
  <si>
    <t>Max</t>
  </si>
  <si>
    <t>Min</t>
  </si>
  <si>
    <t>Standard Deviation:-</t>
  </si>
  <si>
    <t>No mode Value as  there is no frequent values in data.</t>
  </si>
  <si>
    <t>Insights:-</t>
  </si>
  <si>
    <t>Mean and median which is approx 19.5 indicates that player scores around 20 points consistently.</t>
  </si>
  <si>
    <t>Absence of a mode suggests no unusually repeated performance by player and scoring is varied in all 8 games but they are  balanced.</t>
  </si>
  <si>
    <r>
      <t>Range of 10 points</t>
    </r>
    <r>
      <rPr>
        <sz val="11"/>
        <color theme="1"/>
        <rFont val="Calibri"/>
        <family val="2"/>
        <scheme val="minor"/>
      </rPr>
      <t xml:space="preserve"> shows the difference between the best and worst games is moderate.</t>
    </r>
  </si>
  <si>
    <r>
      <t xml:space="preserve">Overall, the player is a </t>
    </r>
    <r>
      <rPr>
        <b/>
        <sz val="11"/>
        <color theme="1"/>
        <rFont val="Calibri"/>
        <family val="2"/>
        <scheme val="minor"/>
      </rPr>
      <t>reliable and consistent scorer</t>
    </r>
    <r>
      <rPr>
        <sz val="11"/>
        <color theme="1"/>
        <rFont val="Calibri"/>
        <family val="2"/>
        <scheme val="minor"/>
      </rPr>
      <t xml:space="preserve"> with occasional higher or lower games but steady performance overall.</t>
    </r>
  </si>
  <si>
    <r>
      <t>Low standard deviation (approx 3 points)</t>
    </r>
    <r>
      <rPr>
        <sz val="11"/>
        <color theme="1"/>
        <rFont val="Calibri"/>
        <family val="2"/>
        <scheme val="minor"/>
      </rPr>
      <t xml:space="preserve"> indicates the player’s scoring is fairly consistent from game to game, with no extreme inconsistent performance.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</si>
</sst>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2" borderId="0" xfId="0" applyFill="1"/>
    <xf numFmtId="0" fontId="0" fillId="0" borderId="0" xfId="0" applyFont="1"/>
    <xf numFmtId="0" fontId="2" fillId="2" borderId="0" xfId="0" applyFont="1" applyFill="1"/>
    <xf numFmtId="0" fontId="2" fillId="0" borderId="0" xfId="0" applyFont="1" applyFill="1" applyBorder="1"/>
    <xf numFmtId="0" fontId="0" fillId="0" borderId="0" xfId="0" applyFont="1" applyFill="1" applyBorder="1"/>
    <xf numFmtId="0" fontId="0" fillId="0" borderId="0" xfId="0" applyFill="1"/>
    <xf numFmtId="0" fontId="0" fillId="2" borderId="1" xfId="0" applyFill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607B-E1CB-4151-A63F-F704B0B53227}">
  <dimension ref="A1:H23"/>
  <sheetViews>
    <sheetView workbookViewId="0">
      <selection activeCell="J14" sqref="J14"/>
    </sheetView>
  </sheetViews>
  <sheetFormatPr defaultRowHeight="14.4" x14ac:dyDescent="0.3"/>
  <cols>
    <col min="1" max="1" width="18.21875" customWidth="1"/>
    <col min="2" max="2" width="22.6640625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5" spans="1:8" x14ac:dyDescent="0.3">
      <c r="A5" s="1" t="s">
        <v>31</v>
      </c>
    </row>
    <row r="6" spans="1:8" x14ac:dyDescent="0.3">
      <c r="A6" t="s">
        <v>42</v>
      </c>
    </row>
    <row r="7" spans="1:8" x14ac:dyDescent="0.3">
      <c r="A7" s="3" t="s">
        <v>33</v>
      </c>
      <c r="B7" s="2">
        <v>10</v>
      </c>
      <c r="C7" s="2">
        <v>12</v>
      </c>
      <c r="D7" s="2">
        <v>11</v>
      </c>
      <c r="E7" s="2">
        <v>15</v>
      </c>
      <c r="F7" s="2">
        <v>14</v>
      </c>
      <c r="G7" s="2">
        <v>13</v>
      </c>
      <c r="H7" s="2">
        <v>12</v>
      </c>
    </row>
    <row r="9" spans="1:8" x14ac:dyDescent="0.3">
      <c r="A9" s="1" t="s">
        <v>32</v>
      </c>
      <c r="B9" t="s">
        <v>47</v>
      </c>
    </row>
    <row r="11" spans="1:8" x14ac:dyDescent="0.3">
      <c r="A11" s="1" t="s">
        <v>34</v>
      </c>
    </row>
    <row r="12" spans="1:8" x14ac:dyDescent="0.3">
      <c r="A12" t="s">
        <v>39</v>
      </c>
      <c r="B12" t="s">
        <v>35</v>
      </c>
      <c r="C12" s="4">
        <f>SUM(B7:H7)</f>
        <v>87</v>
      </c>
      <c r="E12" t="s">
        <v>37</v>
      </c>
      <c r="F12" s="4">
        <f>C12/C13</f>
        <v>12.428571428571429</v>
      </c>
    </row>
    <row r="13" spans="1:8" x14ac:dyDescent="0.3">
      <c r="B13" t="s">
        <v>36</v>
      </c>
      <c r="C13" s="4">
        <f>COUNT(B7:H7)</f>
        <v>7</v>
      </c>
    </row>
    <row r="15" spans="1:8" x14ac:dyDescent="0.3">
      <c r="A15" t="s">
        <v>40</v>
      </c>
      <c r="B15" t="s">
        <v>38</v>
      </c>
      <c r="E15" t="s">
        <v>37</v>
      </c>
      <c r="F15" s="4">
        <f>AVERAGE(B7:H7)</f>
        <v>12.428571428571429</v>
      </c>
    </row>
    <row r="16" spans="1:8" x14ac:dyDescent="0.3">
      <c r="F16" s="4"/>
    </row>
    <row r="17" spans="1:3" x14ac:dyDescent="0.3">
      <c r="A17" s="1" t="s">
        <v>43</v>
      </c>
    </row>
    <row r="18" spans="1:3" x14ac:dyDescent="0.3">
      <c r="A18" s="5"/>
    </row>
    <row r="19" spans="1:3" x14ac:dyDescent="0.3">
      <c r="A19" s="5" t="s">
        <v>41</v>
      </c>
    </row>
    <row r="20" spans="1:3" x14ac:dyDescent="0.3">
      <c r="A20" s="5"/>
    </row>
    <row r="21" spans="1:3" x14ac:dyDescent="0.3">
      <c r="A21" s="1" t="s">
        <v>44</v>
      </c>
    </row>
    <row r="22" spans="1:3" x14ac:dyDescent="0.3">
      <c r="A22" t="s">
        <v>45</v>
      </c>
    </row>
    <row r="23" spans="1:3" x14ac:dyDescent="0.3">
      <c r="A23" s="1" t="s">
        <v>46</v>
      </c>
      <c r="C23" s="4">
        <f>MEDIAN(B7:H7)</f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21D7-365F-46BB-998A-11001D71AD74}">
  <dimension ref="A1:H9"/>
  <sheetViews>
    <sheetView workbookViewId="0">
      <selection activeCell="B21" sqref="B21"/>
    </sheetView>
  </sheetViews>
  <sheetFormatPr defaultRowHeight="14.4" x14ac:dyDescent="0.3"/>
  <cols>
    <col min="1" max="1" width="18.5546875" customWidth="1"/>
  </cols>
  <sheetData>
    <row r="1" spans="1:8" x14ac:dyDescent="0.3">
      <c r="A1" t="s">
        <v>3</v>
      </c>
    </row>
    <row r="2" spans="1:8" x14ac:dyDescent="0.3">
      <c r="A2" t="s">
        <v>4</v>
      </c>
    </row>
    <row r="3" spans="1:8" x14ac:dyDescent="0.3">
      <c r="A3" t="s">
        <v>5</v>
      </c>
    </row>
    <row r="5" spans="1:8" x14ac:dyDescent="0.3">
      <c r="A5" s="1" t="s">
        <v>31</v>
      </c>
    </row>
    <row r="6" spans="1:8" x14ac:dyDescent="0.3">
      <c r="A6" s="3" t="s">
        <v>33</v>
      </c>
      <c r="B6" s="2">
        <v>12</v>
      </c>
      <c r="C6" s="2">
        <v>15</v>
      </c>
      <c r="D6" s="2">
        <v>14</v>
      </c>
      <c r="E6" s="2">
        <v>16</v>
      </c>
      <c r="F6" s="2">
        <v>18</v>
      </c>
      <c r="G6" s="2">
        <v>20</v>
      </c>
      <c r="H6" s="2">
        <v>19</v>
      </c>
    </row>
    <row r="8" spans="1:8" x14ac:dyDescent="0.3">
      <c r="A8" s="1" t="s">
        <v>49</v>
      </c>
      <c r="B8" s="6">
        <f>AVERAGE(B6:H6)</f>
        <v>16.285714285714285</v>
      </c>
      <c r="C8" t="s">
        <v>50</v>
      </c>
    </row>
    <row r="9" spans="1:8" x14ac:dyDescent="0.3">
      <c r="A9" s="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BA3C-3A43-4B7A-853F-56EA8150074B}">
  <dimension ref="A1:I9"/>
  <sheetViews>
    <sheetView workbookViewId="0">
      <selection activeCell="H13" sqref="H13"/>
    </sheetView>
  </sheetViews>
  <sheetFormatPr defaultRowHeight="14.4" x14ac:dyDescent="0.3"/>
  <sheetData>
    <row r="1" spans="1:9" x14ac:dyDescent="0.3">
      <c r="A1" t="s">
        <v>6</v>
      </c>
    </row>
    <row r="2" spans="1:9" x14ac:dyDescent="0.3">
      <c r="A2" t="s">
        <v>7</v>
      </c>
    </row>
    <row r="3" spans="1:9" x14ac:dyDescent="0.3">
      <c r="A3" t="s">
        <v>8</v>
      </c>
    </row>
    <row r="5" spans="1:9" x14ac:dyDescent="0.3">
      <c r="A5" s="1" t="s">
        <v>31</v>
      </c>
    </row>
    <row r="6" spans="1:9" x14ac:dyDescent="0.3">
      <c r="A6" s="3" t="s">
        <v>33</v>
      </c>
      <c r="B6" s="2">
        <v>7</v>
      </c>
      <c r="C6" s="2">
        <v>8</v>
      </c>
      <c r="D6" s="2">
        <v>9</v>
      </c>
      <c r="E6" s="2">
        <v>8</v>
      </c>
      <c r="F6" s="2">
        <v>8</v>
      </c>
      <c r="G6" s="2">
        <v>10</v>
      </c>
      <c r="H6" s="2">
        <v>7</v>
      </c>
      <c r="I6" s="2">
        <v>9</v>
      </c>
    </row>
    <row r="8" spans="1:9" x14ac:dyDescent="0.3">
      <c r="A8" s="1" t="s">
        <v>51</v>
      </c>
      <c r="B8" s="6" cm="1">
        <f t="array" ref="B8">_xlfn.MODE.MULT(B6:I6)</f>
        <v>8</v>
      </c>
    </row>
    <row r="9" spans="1:9" x14ac:dyDescent="0.3">
      <c r="A9" s="7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105A-4C70-4D7A-A715-A82CD9CC34C1}">
  <dimension ref="A1:F13"/>
  <sheetViews>
    <sheetView workbookViewId="0">
      <selection activeCell="D10" sqref="D10"/>
    </sheetView>
  </sheetViews>
  <sheetFormatPr defaultRowHeight="14.4" x14ac:dyDescent="0.3"/>
  <sheetData>
    <row r="1" spans="1:6" x14ac:dyDescent="0.3">
      <c r="A1" t="s">
        <v>9</v>
      </c>
    </row>
    <row r="2" spans="1:6" x14ac:dyDescent="0.3">
      <c r="A2" t="s">
        <v>10</v>
      </c>
    </row>
    <row r="3" spans="1:6" x14ac:dyDescent="0.3">
      <c r="A3" t="s">
        <v>11</v>
      </c>
    </row>
    <row r="5" spans="1:6" x14ac:dyDescent="0.3">
      <c r="A5" s="1" t="s">
        <v>31</v>
      </c>
    </row>
    <row r="6" spans="1:6" x14ac:dyDescent="0.3">
      <c r="A6" s="3" t="s">
        <v>53</v>
      </c>
      <c r="B6" s="2">
        <v>8000</v>
      </c>
      <c r="C6" s="2">
        <v>9500</v>
      </c>
      <c r="D6" s="2">
        <v>10200</v>
      </c>
      <c r="E6" s="2">
        <v>11000</v>
      </c>
      <c r="F6" s="2">
        <v>50000</v>
      </c>
    </row>
    <row r="8" spans="1:6" x14ac:dyDescent="0.3">
      <c r="A8" s="1" t="s">
        <v>54</v>
      </c>
      <c r="B8" s="6">
        <f>MEDIAN(B6:F6)</f>
        <v>10200</v>
      </c>
    </row>
    <row r="10" spans="1:6" x14ac:dyDescent="0.3">
      <c r="A10" s="8" t="s">
        <v>57</v>
      </c>
    </row>
    <row r="11" spans="1:6" x14ac:dyDescent="0.3">
      <c r="A11" t="s">
        <v>58</v>
      </c>
    </row>
    <row r="12" spans="1:6" x14ac:dyDescent="0.3">
      <c r="A12" t="s">
        <v>55</v>
      </c>
    </row>
    <row r="13" spans="1:6" x14ac:dyDescent="0.3">
      <c r="A1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53AF-2119-460A-9EF9-4AD3403524AE}">
  <dimension ref="A1:F13"/>
  <sheetViews>
    <sheetView workbookViewId="0">
      <selection activeCell="A13" sqref="A13"/>
    </sheetView>
  </sheetViews>
  <sheetFormatPr defaultRowHeight="14.4" x14ac:dyDescent="0.3"/>
  <cols>
    <col min="1" max="1" width="28.109375" customWidth="1"/>
  </cols>
  <sheetData>
    <row r="1" spans="1:6" x14ac:dyDescent="0.3">
      <c r="A1" t="s">
        <v>12</v>
      </c>
    </row>
    <row r="2" spans="1:6" x14ac:dyDescent="0.3">
      <c r="A2" t="s">
        <v>13</v>
      </c>
    </row>
    <row r="3" spans="1:6" x14ac:dyDescent="0.3">
      <c r="A3" t="s">
        <v>14</v>
      </c>
    </row>
    <row r="5" spans="1:6" x14ac:dyDescent="0.3">
      <c r="A5" s="1" t="s">
        <v>31</v>
      </c>
    </row>
    <row r="6" spans="1:6" x14ac:dyDescent="0.3">
      <c r="A6" s="3" t="s">
        <v>33</v>
      </c>
      <c r="B6" s="2">
        <v>25</v>
      </c>
      <c r="C6" s="2">
        <v>30</v>
      </c>
      <c r="D6" s="2">
        <v>27</v>
      </c>
      <c r="E6" s="2">
        <v>35</v>
      </c>
      <c r="F6" s="2">
        <v>40</v>
      </c>
    </row>
    <row r="8" spans="1:6" x14ac:dyDescent="0.3">
      <c r="A8" t="s">
        <v>63</v>
      </c>
      <c r="B8" s="4">
        <f>MAX(B6:F6)</f>
        <v>40</v>
      </c>
    </row>
    <row r="9" spans="1:6" x14ac:dyDescent="0.3">
      <c r="A9" t="s">
        <v>64</v>
      </c>
      <c r="B9" s="4">
        <f>MIN(B6:F6)</f>
        <v>25</v>
      </c>
    </row>
    <row r="10" spans="1:6" x14ac:dyDescent="0.3">
      <c r="A10" s="1" t="s">
        <v>65</v>
      </c>
      <c r="B10" s="6">
        <f>B8-B9</f>
        <v>15</v>
      </c>
    </row>
    <row r="11" spans="1:6" x14ac:dyDescent="0.3">
      <c r="B11" s="9"/>
    </row>
    <row r="12" spans="1:6" x14ac:dyDescent="0.3">
      <c r="A12" t="s">
        <v>59</v>
      </c>
    </row>
    <row r="13" spans="1:6" x14ac:dyDescent="0.3">
      <c r="A13" s="5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2DF2-F45E-4F07-8CBE-A265AE35503E}">
  <dimension ref="A1:F13"/>
  <sheetViews>
    <sheetView workbookViewId="0">
      <selection activeCell="A13" sqref="A13"/>
    </sheetView>
  </sheetViews>
  <sheetFormatPr defaultRowHeight="14.4" x14ac:dyDescent="0.3"/>
  <sheetData>
    <row r="1" spans="1:6" x14ac:dyDescent="0.3">
      <c r="A1" t="s">
        <v>15</v>
      </c>
    </row>
    <row r="2" spans="1:6" x14ac:dyDescent="0.3">
      <c r="A2" t="s">
        <v>16</v>
      </c>
    </row>
    <row r="3" spans="1:6" x14ac:dyDescent="0.3">
      <c r="A3" t="s">
        <v>17</v>
      </c>
    </row>
    <row r="5" spans="1:6" x14ac:dyDescent="0.3">
      <c r="A5" s="1" t="s">
        <v>31</v>
      </c>
    </row>
    <row r="6" spans="1:6" x14ac:dyDescent="0.3">
      <c r="A6" s="3" t="s">
        <v>66</v>
      </c>
      <c r="B6" s="2">
        <v>100</v>
      </c>
      <c r="C6" s="2">
        <v>105</v>
      </c>
      <c r="D6" s="2">
        <v>98</v>
      </c>
      <c r="E6" s="2">
        <v>110</v>
      </c>
      <c r="F6" s="2">
        <v>120</v>
      </c>
    </row>
    <row r="8" spans="1:6" x14ac:dyDescent="0.3">
      <c r="A8" t="s">
        <v>61</v>
      </c>
      <c r="B8">
        <f>MAX(B6:F6)</f>
        <v>120</v>
      </c>
    </row>
    <row r="9" spans="1:6" x14ac:dyDescent="0.3">
      <c r="A9" t="s">
        <v>62</v>
      </c>
      <c r="B9">
        <f>MIN(B6:F6)</f>
        <v>98</v>
      </c>
    </row>
    <row r="10" spans="1:6" x14ac:dyDescent="0.3">
      <c r="A10" s="3" t="s">
        <v>65</v>
      </c>
      <c r="B10" s="10">
        <f>B8-B9</f>
        <v>22</v>
      </c>
    </row>
    <row r="12" spans="1:6" x14ac:dyDescent="0.3">
      <c r="A12" t="s">
        <v>67</v>
      </c>
    </row>
    <row r="13" spans="1:6" x14ac:dyDescent="0.3">
      <c r="A13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4786-C942-4A96-B382-0E2E02614507}">
  <dimension ref="A1:A7"/>
  <sheetViews>
    <sheetView workbookViewId="0">
      <selection activeCell="C9" sqref="C9"/>
    </sheetView>
  </sheetViews>
  <sheetFormatPr defaultRowHeight="14.4" x14ac:dyDescent="0.3"/>
  <sheetData>
    <row r="1" spans="1:1" x14ac:dyDescent="0.3">
      <c r="A1" t="s">
        <v>18</v>
      </c>
    </row>
    <row r="2" spans="1:1" x14ac:dyDescent="0.3">
      <c r="A2" t="s">
        <v>19</v>
      </c>
    </row>
    <row r="3" spans="1:1" x14ac:dyDescent="0.3">
      <c r="A3" t="s">
        <v>69</v>
      </c>
    </row>
    <row r="4" spans="1:1" x14ac:dyDescent="0.3">
      <c r="A4" s="5" t="s">
        <v>20</v>
      </c>
    </row>
    <row r="5" spans="1:1" x14ac:dyDescent="0.3">
      <c r="A5" s="5"/>
    </row>
    <row r="6" spans="1:1" x14ac:dyDescent="0.3">
      <c r="A6" s="1" t="s">
        <v>31</v>
      </c>
    </row>
    <row r="7" spans="1:1" x14ac:dyDescent="0.3">
      <c r="A7" s="5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8B8B-0065-4AA9-B8F3-EA394C2D016C}">
  <dimension ref="A1:A8"/>
  <sheetViews>
    <sheetView workbookViewId="0">
      <selection activeCell="O6" sqref="O6"/>
    </sheetView>
  </sheetViews>
  <sheetFormatPr defaultRowHeight="14.4" x14ac:dyDescent="0.3"/>
  <sheetData>
    <row r="1" spans="1:1" x14ac:dyDescent="0.3">
      <c r="A1" t="s">
        <v>21</v>
      </c>
    </row>
    <row r="2" spans="1:1" x14ac:dyDescent="0.3">
      <c r="A2" t="s">
        <v>71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7" spans="1:1" x14ac:dyDescent="0.3">
      <c r="A7" s="1" t="s">
        <v>31</v>
      </c>
    </row>
    <row r="8" spans="1:1" x14ac:dyDescent="0.3">
      <c r="A8" s="5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35F6-1C92-4B7F-80C7-5B23A19C7FFD}">
  <dimension ref="A1:F13"/>
  <sheetViews>
    <sheetView workbookViewId="0">
      <selection activeCell="D15" sqref="D15"/>
    </sheetView>
  </sheetViews>
  <sheetFormatPr defaultRowHeight="14.4" x14ac:dyDescent="0.3"/>
  <cols>
    <col min="1" max="1" width="17.21875" customWidth="1"/>
  </cols>
  <sheetData>
    <row r="1" spans="1:6" x14ac:dyDescent="0.3">
      <c r="A1" t="s">
        <v>25</v>
      </c>
    </row>
    <row r="2" spans="1:6" x14ac:dyDescent="0.3">
      <c r="A2" t="s">
        <v>26</v>
      </c>
    </row>
    <row r="3" spans="1:6" x14ac:dyDescent="0.3">
      <c r="A3" s="5" t="s">
        <v>27</v>
      </c>
    </row>
    <row r="4" spans="1:6" x14ac:dyDescent="0.3">
      <c r="A4" s="5"/>
    </row>
    <row r="5" spans="1:6" x14ac:dyDescent="0.3">
      <c r="A5" s="1" t="s">
        <v>31</v>
      </c>
    </row>
    <row r="6" spans="1:6" x14ac:dyDescent="0.3">
      <c r="A6" s="5"/>
    </row>
    <row r="7" spans="1:6" x14ac:dyDescent="0.3">
      <c r="A7" s="3" t="s">
        <v>33</v>
      </c>
      <c r="B7" s="2">
        <v>400</v>
      </c>
      <c r="C7" s="2">
        <v>420</v>
      </c>
      <c r="D7" s="2">
        <v>390</v>
      </c>
      <c r="E7" s="2">
        <v>450</v>
      </c>
      <c r="F7" s="2">
        <v>410</v>
      </c>
    </row>
    <row r="8" spans="1:6" x14ac:dyDescent="0.3">
      <c r="A8" s="5"/>
    </row>
    <row r="9" spans="1:6" x14ac:dyDescent="0.3">
      <c r="A9" s="1" t="s">
        <v>37</v>
      </c>
      <c r="B9" s="4">
        <f>AVERAGE(B7:F7)</f>
        <v>414</v>
      </c>
    </row>
    <row r="10" spans="1:6" x14ac:dyDescent="0.3">
      <c r="A10" s="1" t="s">
        <v>73</v>
      </c>
      <c r="B10" s="4">
        <f>_xlfn.STDEV.P(B7:F7)</f>
        <v>20.591260281974002</v>
      </c>
    </row>
    <row r="11" spans="1:6" x14ac:dyDescent="0.3">
      <c r="A11" s="5"/>
    </row>
    <row r="12" spans="1:6" x14ac:dyDescent="0.3">
      <c r="A12" t="s">
        <v>74</v>
      </c>
    </row>
    <row r="13" spans="1:6" x14ac:dyDescent="0.3">
      <c r="A13" s="5" t="s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241F-04DC-4267-BA46-F84A25B3E29A}">
  <dimension ref="A1:I26"/>
  <sheetViews>
    <sheetView tabSelected="1" workbookViewId="0">
      <selection activeCell="M17" sqref="M17"/>
    </sheetView>
  </sheetViews>
  <sheetFormatPr defaultRowHeight="14.4" x14ac:dyDescent="0.3"/>
  <cols>
    <col min="1" max="1" width="21.77734375" customWidth="1"/>
  </cols>
  <sheetData>
    <row r="1" spans="1:9" x14ac:dyDescent="0.3">
      <c r="A1" t="s">
        <v>28</v>
      </c>
    </row>
    <row r="2" spans="1:9" x14ac:dyDescent="0.3">
      <c r="A2" t="s">
        <v>29</v>
      </c>
    </row>
    <row r="3" spans="1:9" x14ac:dyDescent="0.3">
      <c r="A3" t="s">
        <v>30</v>
      </c>
    </row>
    <row r="5" spans="1:9" x14ac:dyDescent="0.3">
      <c r="A5" s="1" t="s">
        <v>31</v>
      </c>
    </row>
    <row r="7" spans="1:9" x14ac:dyDescent="0.3">
      <c r="A7" s="3" t="s">
        <v>33</v>
      </c>
      <c r="B7" s="2">
        <v>15</v>
      </c>
      <c r="C7" s="2">
        <v>18</v>
      </c>
      <c r="D7" s="2">
        <v>20</v>
      </c>
      <c r="E7" s="2">
        <v>22</v>
      </c>
      <c r="F7" s="2">
        <v>25</v>
      </c>
      <c r="G7" s="2">
        <v>17</v>
      </c>
      <c r="H7" s="2">
        <v>19</v>
      </c>
      <c r="I7" s="2">
        <v>21</v>
      </c>
    </row>
    <row r="9" spans="1:9" x14ac:dyDescent="0.3">
      <c r="A9" s="1" t="s">
        <v>37</v>
      </c>
      <c r="B9" s="6">
        <f>AVERAGE(B7:I7)</f>
        <v>19.625</v>
      </c>
    </row>
    <row r="10" spans="1:9" x14ac:dyDescent="0.3">
      <c r="A10" s="1"/>
      <c r="B10" s="11"/>
    </row>
    <row r="11" spans="1:9" x14ac:dyDescent="0.3">
      <c r="A11" s="1" t="s">
        <v>54</v>
      </c>
      <c r="B11" s="6">
        <f>MEDIAN(B7:I7)</f>
        <v>19.5</v>
      </c>
    </row>
    <row r="12" spans="1:9" x14ac:dyDescent="0.3">
      <c r="A12" s="1"/>
      <c r="B12" s="11"/>
    </row>
    <row r="13" spans="1:9" x14ac:dyDescent="0.3">
      <c r="A13" s="1" t="s">
        <v>51</v>
      </c>
      <c r="B13" s="6" t="s">
        <v>80</v>
      </c>
    </row>
    <row r="15" spans="1:9" x14ac:dyDescent="0.3">
      <c r="A15" s="1" t="s">
        <v>76</v>
      </c>
      <c r="B15" s="6">
        <f>E15-E16</f>
        <v>10</v>
      </c>
      <c r="D15" t="s">
        <v>77</v>
      </c>
      <c r="E15">
        <f>MAX(B7:I7)</f>
        <v>25</v>
      </c>
    </row>
    <row r="16" spans="1:9" x14ac:dyDescent="0.3">
      <c r="D16" t="s">
        <v>78</v>
      </c>
      <c r="E16">
        <f>MIN(B7:I7)</f>
        <v>15</v>
      </c>
    </row>
    <row r="18" spans="1:2" x14ac:dyDescent="0.3">
      <c r="A18" s="1" t="s">
        <v>79</v>
      </c>
      <c r="B18" s="4">
        <f>_xlfn.STDEV.P(B7:I7)</f>
        <v>2.912795049432761</v>
      </c>
    </row>
    <row r="20" spans="1:2" x14ac:dyDescent="0.3">
      <c r="A20" s="1" t="s">
        <v>81</v>
      </c>
    </row>
    <row r="21" spans="1:2" x14ac:dyDescent="0.3">
      <c r="A21" t="s">
        <v>82</v>
      </c>
    </row>
    <row r="22" spans="1:2" x14ac:dyDescent="0.3">
      <c r="A22" s="5" t="s">
        <v>83</v>
      </c>
    </row>
    <row r="23" spans="1:2" x14ac:dyDescent="0.3">
      <c r="A23" s="5" t="s">
        <v>84</v>
      </c>
    </row>
    <row r="24" spans="1:2" x14ac:dyDescent="0.3">
      <c r="A24" s="5" t="s">
        <v>86</v>
      </c>
    </row>
    <row r="26" spans="1:2" x14ac:dyDescent="0.3">
      <c r="A2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Shirodkar</dc:creator>
  <cp:lastModifiedBy>Abhishek Shirodkar</cp:lastModifiedBy>
  <dcterms:created xsi:type="dcterms:W3CDTF">2025-12-18T15:03:20Z</dcterms:created>
  <dcterms:modified xsi:type="dcterms:W3CDTF">2025-12-18T17:41:03Z</dcterms:modified>
</cp:coreProperties>
</file>