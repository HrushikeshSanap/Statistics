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8d2e4e32c79d5415/Desktop/Hrushikesh/PW SKILLS ASSIGNMENTS/Statistics/"/>
    </mc:Choice>
  </mc:AlternateContent>
  <xr:revisionPtr revIDLastSave="229" documentId="8_{C8C6CC73-96B0-4722-B58D-84BA3F484F52}" xr6:coauthVersionLast="47" xr6:coauthVersionMax="47" xr10:uidLastSave="{837F53F4-8267-4905-ABE1-CC3511198264}"/>
  <bookViews>
    <workbookView xWindow="-108" yWindow="-108" windowWidth="23256" windowHeight="12456" activeTab="7" xr2:uid="{DF691D35-16DD-4039-982F-8EBAF1180D65}"/>
  </bookViews>
  <sheets>
    <sheet name="Q1" sheetId="1" r:id="rId1"/>
    <sheet name="Q2" sheetId="2" r:id="rId2"/>
    <sheet name="Q3" sheetId="3" r:id="rId3"/>
    <sheet name="Q4" sheetId="4" r:id="rId4"/>
    <sheet name="Q5" sheetId="5" r:id="rId5"/>
    <sheet name="Q6" sheetId="6" r:id="rId6"/>
    <sheet name="Q7" sheetId="7" r:id="rId7"/>
    <sheet name="Q8" sheetId="8" r:id="rId8"/>
  </sheets>
  <definedNames>
    <definedName name="_xlchart.v1.0" hidden="1">'Q2'!$G$6:$G$105</definedName>
    <definedName name="_xlchart.v1.1" hidden="1">'Q2'!$G$6:$G$105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 i="4" l="1"/>
  <c r="G13" i="4"/>
  <c r="D14" i="4" s="1"/>
  <c r="G8" i="2"/>
  <c r="G105" i="2"/>
  <c r="G7"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6" i="2"/>
  <c r="I8" i="7"/>
  <c r="E9" i="1"/>
  <c r="F7" i="1"/>
  <c r="D15" i="4" l="1"/>
  <c r="D16" i="4"/>
  <c r="C19" i="4" l="1"/>
  <c r="C18" i="4"/>
</calcChain>
</file>

<file path=xl/sharedStrings.xml><?xml version="1.0" encoding="utf-8"?>
<sst xmlns="http://schemas.openxmlformats.org/spreadsheetml/2006/main" count="72" uniqueCount="57">
  <si>
    <t>Question:-</t>
  </si>
  <si>
    <t>Simulate 30 rolls with =RANDBETWEEN(1,6). What is the probability of rolling a 3 exactly 5 times? (Hint: Use BINOM.DIST)</t>
  </si>
  <si>
    <t>Generate 100 values in Excel using the continuous uniform distribution RAND() and plot a histogram. Describe the shape of the distribution.</t>
  </si>
  <si>
    <t>A dataset has a mean of 50 and a standard deviation of 5. What percentage of values lie between 45 and 55 if the data follows a normal distribution?</t>
  </si>
  <si>
    <t>What is the concept of standardization (z-score), and why is it important in data analysis? Explain the formula and how standardization transforms a dataset.</t>
  </si>
  <si>
    <t>What is Kurtosis and their type?</t>
  </si>
  <si>
    <t>Explain why the uniform distribution is a good model for the outcome of rolling a fair die.</t>
  </si>
  <si>
    <t>Use Excel to compute the probability of getting at least 8 successes in 15 trials with success probability 0.5</t>
  </si>
  <si>
    <t>How does log transformation help in stabilizing variance and making data more normally distributed?</t>
  </si>
  <si>
    <t>Answer:-</t>
  </si>
  <si>
    <t>Success(k)</t>
  </si>
  <si>
    <t>No of trials(n)</t>
  </si>
  <si>
    <t>1/6</t>
  </si>
  <si>
    <t>Probability of success (Rolling a 3) (p)</t>
  </si>
  <si>
    <t>Probability of rolling a 3 exactly 5 times</t>
  </si>
  <si>
    <t>Lower limit (45) is 50 - 5 (1 standard deviation below mean).</t>
  </si>
  <si>
    <t>Upper limit (55) is 50 + 5 (1 standard deviation above mean).</t>
  </si>
  <si>
    <t>In a normal distribution, approximately 68% of the data falls within one standard deviation of the mean.</t>
  </si>
  <si>
    <r>
      <t>Percentage of values lie between 45 and 55 if the data follows a normal distribution will be</t>
    </r>
    <r>
      <rPr>
        <b/>
        <sz val="11"/>
        <color theme="1"/>
        <rFont val="Calibri"/>
        <family val="2"/>
        <scheme val="minor"/>
      </rPr>
      <t xml:space="preserve"> 68%.</t>
    </r>
  </si>
  <si>
    <t>Kurtosis measures the tailedness or peakedness of a probability distribution compared to a normal distribution. It describes extreme values (outliers).</t>
  </si>
  <si>
    <t>Positive Kurtosis/ Leptokurtic:-High peak, heavy tails which means more
outliers.</t>
  </si>
  <si>
    <t>Negative Kurtosis/Platykurtic:-Flat peak, thin tails which means fewer
outliers.</t>
  </si>
  <si>
    <t>Types:-</t>
  </si>
  <si>
    <t>Normal Kurtosis/Mesokurtic:-Similar to a standard Normal Distribution.</t>
  </si>
  <si>
    <t>Success (k)</t>
  </si>
  <si>
    <t>Probability(p)</t>
  </si>
  <si>
    <t>Probability of getting at least 8 successes in 15 trials with success probability 0.5</t>
  </si>
  <si>
    <t>The histogram of the 100 random values shows a shape that is fairly flat and evenly spread out across all the bins. This is exactly what we expect from a continuous uniform distribution, because every value between 0 and 1 has an equal chance of occurring. Although the bar heights are not perfectly identical, they are still close to each other, and there is no clear peak, no skewness, and no clustering in any particular range. The small differences between the bars are simply due to natural randomness in a sample of only 100 values. Overall, the distribution appears uniform in shape.</t>
  </si>
  <si>
    <t>100 values using  continuous uniform distribution RAND()</t>
  </si>
  <si>
    <t>Standardization is technique to rescale/transform the data in such a way that all data will be on same scale, usually it standardise the data scale so that mean of data will be zero and standard deviation will be 1(mean=0 ; Std.dev=1).</t>
  </si>
  <si>
    <t>Formula:-</t>
  </si>
  <si>
    <t>z= x-mean/Standard deviation</t>
  </si>
  <si>
    <t>where x is value of dataset</t>
  </si>
  <si>
    <t>It is important for fair comparison, outlier detection, and effective statistical and machine-learning analysis.</t>
  </si>
  <si>
    <t>For e.g:-</t>
  </si>
  <si>
    <t>A</t>
  </si>
  <si>
    <t>B</t>
  </si>
  <si>
    <t>C</t>
  </si>
  <si>
    <t>z-score</t>
  </si>
  <si>
    <t>Mean</t>
  </si>
  <si>
    <t>Std.dev</t>
  </si>
  <si>
    <t>Employee Salary</t>
  </si>
  <si>
    <t>Employee</t>
  </si>
  <si>
    <t>Salary</t>
  </si>
  <si>
    <t>Mean of z-score</t>
  </si>
  <si>
    <t>Standard deviation of z-score</t>
  </si>
  <si>
    <t>Basically standardization Subtracts the mean and Shifts the data so the new mean becomes 0 and Divides by the standard deviation and Rescales the data so the spread becomes 1.</t>
  </si>
  <si>
    <t>x-μ</t>
  </si>
  <si>
    <t>σ</t>
  </si>
  <si>
    <t>z=</t>
  </si>
  <si>
    <t>For e.g if data has 10,100,1000,10000… by log scale it becomes 1,2,3,4… which is easy to analyse.</t>
  </si>
  <si>
    <t>A log transformation replaces each data value with (log(x))/or log base-10. It is widely used in data analysis to stabilize variance and make data more normally distributed.</t>
  </si>
  <si>
    <t>The log function compresses large values more than small values, differences between large numbers shrink, while small values change only slightly.</t>
  </si>
  <si>
    <t>Also Log transformation pulls in the right tail, reduces extreme high values (outliers) and makes the distribution more symmetric and bell-shaped.form. This makes the data easier
to analyze and more suitable for statistical models.</t>
  </si>
  <si>
    <t>Mainly it is used to fix two major problems in data:</t>
  </si>
  <si>
    <t>1. Unequal variance</t>
  </si>
  <si>
    <t>2. Skewed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</si>
</sst>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22">
    <xf numFmtId="0" fontId="0" fillId="0" borderId="0" xfId="0"/>
    <xf numFmtId="0" fontId="1" fillId="0" borderId="0" xfId="0" applyFont="1"/>
    <xf numFmtId="49" fontId="0" fillId="0" borderId="0" xfId="0" applyNumberFormat="1" applyAlignment="1">
      <alignment horizontal="right"/>
    </xf>
    <xf numFmtId="0" fontId="1" fillId="2" borderId="0" xfId="0" applyFont="1" applyFill="1"/>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0"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0" fillId="2" borderId="9" xfId="0" applyFill="1" applyBorder="1"/>
    <xf numFmtId="0" fontId="0" fillId="0" borderId="9" xfId="0" applyBorder="1"/>
    <xf numFmtId="0" fontId="1" fillId="2" borderId="9" xfId="0" applyFont="1" applyFill="1" applyBorder="1"/>
    <xf numFmtId="0" fontId="1" fillId="0" borderId="9" xfId="0" applyFont="1" applyBorder="1"/>
    <xf numFmtId="0" fontId="0" fillId="0" borderId="0" xfId="0" applyAlignment="1">
      <alignment horizontal="center"/>
    </xf>
    <xf numFmtId="0" fontId="0" fillId="0" borderId="10" xfId="0" applyBorder="1" applyAlignment="1">
      <alignment horizontal="center"/>
    </xf>
    <xf numFmtId="0" fontId="0" fillId="0" borderId="0" xfId="0" applyAlignment="1">
      <alignment horizontal="right"/>
    </xf>
    <xf numFmtId="0" fontId="0" fillId="0" borderId="0" xfId="0" applyFo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4C8121D5-B3ED-48FA-B584-0740FB13833C}">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9</xdr:col>
      <xdr:colOff>0</xdr:colOff>
      <xdr:row>7</xdr:row>
      <xdr:rowOff>11430</xdr:rowOff>
    </xdr:from>
    <xdr:to>
      <xdr:col>15</xdr:col>
      <xdr:colOff>22860</xdr:colOff>
      <xdr:row>22</xdr:row>
      <xdr:rowOff>3810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5F253643-0D85-E36F-841E-B6BB5637A7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86400" y="1657350"/>
              <a:ext cx="368046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7620</xdr:rowOff>
    </xdr:from>
    <xdr:to>
      <xdr:col>8</xdr:col>
      <xdr:colOff>175260</xdr:colOff>
      <xdr:row>12</xdr:row>
      <xdr:rowOff>0</xdr:rowOff>
    </xdr:to>
    <xdr:sp macro="" textlink="">
      <xdr:nvSpPr>
        <xdr:cNvPr id="3" name="TextBox 2">
          <a:extLst>
            <a:ext uri="{FF2B5EF4-FFF2-40B4-BE49-F238E27FC236}">
              <a16:creationId xmlns:a16="http://schemas.microsoft.com/office/drawing/2014/main" id="{E50BDCFD-740C-38D9-92BC-DC957E68B868}"/>
            </a:ext>
          </a:extLst>
        </xdr:cNvPr>
        <xdr:cNvSpPr txBox="1"/>
      </xdr:nvSpPr>
      <xdr:spPr>
        <a:xfrm>
          <a:off x="0" y="556260"/>
          <a:ext cx="5052060" cy="16383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The uniform distribution is a good model for the outcome of rolling a fair die</a:t>
          </a:r>
        </a:p>
        <a:p>
          <a:r>
            <a:rPr lang="en-IN" sz="1100"/>
            <a:t>because each of the six faces has an equal probability of occurring. In a fair die,</a:t>
          </a:r>
        </a:p>
        <a:p>
          <a:r>
            <a:rPr lang="en-IN" sz="1100"/>
            <a:t>there is no bias or preference toward any number 1, 2, 3, 4, 5, and 6 are all equally</a:t>
          </a:r>
        </a:p>
        <a:p>
          <a:r>
            <a:rPr lang="en-IN" sz="1100"/>
            <a:t>likely. This matches the idea of a uniform distribution, where every outcome in</a:t>
          </a:r>
        </a:p>
        <a:p>
          <a:r>
            <a:rPr lang="en-IN" sz="1100"/>
            <a:t>the range has the same chance of appearing. Since all six outcomes have</a:t>
          </a:r>
        </a:p>
        <a:p>
          <a:r>
            <a:rPr lang="en-IN" sz="1100"/>
            <a:t>probability 1/6, the distribution of die rolls is perfectly even, which is exactly</a:t>
          </a:r>
        </a:p>
        <a:p>
          <a:r>
            <a:rPr lang="en-IN" sz="1100"/>
            <a:t>what a uniform distribution represents.</a:t>
          </a:r>
        </a:p>
        <a:p>
          <a:r>
            <a:rPr lang="en-IN" sz="1100"/>
            <a:t>Hence </a:t>
          </a:r>
          <a:r>
            <a:rPr lang="en-IN"/>
            <a:t>The uniform distribution is an appropriate model for rolling a fair die because </a:t>
          </a:r>
          <a:r>
            <a:rPr lang="en-IN" b="1"/>
            <a:t>all outcomes are equally likely, unbiased, and stable in the long run</a:t>
          </a:r>
          <a:r>
            <a:rPr lang="en-IN"/>
            <a:t>. </a:t>
          </a:r>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471B4-5B7B-4257-A9AF-D5589959D54A}">
  <dimension ref="A1:F9"/>
  <sheetViews>
    <sheetView workbookViewId="0">
      <selection activeCell="A3" sqref="A3"/>
    </sheetView>
  </sheetViews>
  <sheetFormatPr defaultRowHeight="14.4" x14ac:dyDescent="0.3"/>
  <sheetData>
    <row r="1" spans="1:6" x14ac:dyDescent="0.3">
      <c r="A1" s="1" t="s">
        <v>0</v>
      </c>
      <c r="B1" t="s">
        <v>1</v>
      </c>
    </row>
    <row r="3" spans="1:6" x14ac:dyDescent="0.3">
      <c r="A3" s="1" t="s">
        <v>9</v>
      </c>
    </row>
    <row r="5" spans="1:6" x14ac:dyDescent="0.3">
      <c r="A5" t="s">
        <v>11</v>
      </c>
      <c r="E5">
        <v>30</v>
      </c>
    </row>
    <row r="6" spans="1:6" x14ac:dyDescent="0.3">
      <c r="A6" t="s">
        <v>10</v>
      </c>
      <c r="E6">
        <v>5</v>
      </c>
    </row>
    <row r="7" spans="1:6" x14ac:dyDescent="0.3">
      <c r="A7" t="s">
        <v>13</v>
      </c>
      <c r="E7" s="2" t="s">
        <v>12</v>
      </c>
      <c r="F7">
        <f>1/6</f>
        <v>0.16666666666666666</v>
      </c>
    </row>
    <row r="9" spans="1:6" x14ac:dyDescent="0.3">
      <c r="A9" s="1" t="s">
        <v>14</v>
      </c>
      <c r="E9" s="3">
        <f>_xlfn.BINOM.DIST(E6,E5,F7,FALSE)</f>
        <v>0.19210813105163416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44EAB-173B-4614-BB57-4B22B93F0CDB}">
  <dimension ref="A1:G105"/>
  <sheetViews>
    <sheetView workbookViewId="0">
      <selection activeCell="H14" sqref="H14"/>
    </sheetView>
  </sheetViews>
  <sheetFormatPr defaultRowHeight="14.4" x14ac:dyDescent="0.3"/>
  <sheetData>
    <row r="1" spans="1:7" ht="14.4" customHeight="1" x14ac:dyDescent="0.3">
      <c r="A1" s="1" t="s">
        <v>0</v>
      </c>
      <c r="B1" t="s">
        <v>2</v>
      </c>
    </row>
    <row r="3" spans="1:7" x14ac:dyDescent="0.3">
      <c r="A3" s="1" t="s">
        <v>9</v>
      </c>
    </row>
    <row r="4" spans="1:7" ht="15" thickBot="1" x14ac:dyDescent="0.35"/>
    <row r="5" spans="1:7" ht="42.6" customHeight="1" x14ac:dyDescent="0.3">
      <c r="A5" s="4" t="s">
        <v>27</v>
      </c>
      <c r="B5" s="5"/>
      <c r="C5" s="5"/>
      <c r="D5" s="6"/>
      <c r="G5" s="15" t="s">
        <v>28</v>
      </c>
    </row>
    <row r="6" spans="1:7" x14ac:dyDescent="0.3">
      <c r="A6" s="7"/>
      <c r="B6" s="8"/>
      <c r="C6" s="8"/>
      <c r="D6" s="9"/>
      <c r="G6" s="14">
        <f ca="1">RAND()</f>
        <v>0.35529334757307285</v>
      </c>
    </row>
    <row r="7" spans="1:7" x14ac:dyDescent="0.3">
      <c r="A7" s="7"/>
      <c r="B7" s="8"/>
      <c r="C7" s="8"/>
      <c r="D7" s="9"/>
      <c r="G7" s="14">
        <f ca="1">RAND()</f>
        <v>0.6175062835745484</v>
      </c>
    </row>
    <row r="8" spans="1:7" x14ac:dyDescent="0.3">
      <c r="A8" s="7"/>
      <c r="B8" s="8"/>
      <c r="C8" s="8"/>
      <c r="D8" s="9"/>
      <c r="G8" s="14">
        <f t="shared" ref="G8:G70" ca="1" si="0">RAND()</f>
        <v>0.50114532411826218</v>
      </c>
    </row>
    <row r="9" spans="1:7" x14ac:dyDescent="0.3">
      <c r="A9" s="7"/>
      <c r="B9" s="8"/>
      <c r="C9" s="8"/>
      <c r="D9" s="9"/>
      <c r="G9" s="14">
        <f t="shared" ca="1" si="0"/>
        <v>0.8224283194341192</v>
      </c>
    </row>
    <row r="10" spans="1:7" x14ac:dyDescent="0.3">
      <c r="A10" s="7"/>
      <c r="B10" s="8"/>
      <c r="C10" s="8"/>
      <c r="D10" s="9"/>
      <c r="G10" s="14">
        <f t="shared" ca="1" si="0"/>
        <v>0.45918943115118893</v>
      </c>
    </row>
    <row r="11" spans="1:7" x14ac:dyDescent="0.3">
      <c r="A11" s="7"/>
      <c r="B11" s="8"/>
      <c r="C11" s="8"/>
      <c r="D11" s="9"/>
      <c r="G11" s="14">
        <f t="shared" ca="1" si="0"/>
        <v>4.1207225985929186E-2</v>
      </c>
    </row>
    <row r="12" spans="1:7" x14ac:dyDescent="0.3">
      <c r="A12" s="7"/>
      <c r="B12" s="8"/>
      <c r="C12" s="8"/>
      <c r="D12" s="9"/>
      <c r="G12" s="14">
        <f t="shared" ca="1" si="0"/>
        <v>0.65103607925785278</v>
      </c>
    </row>
    <row r="13" spans="1:7" x14ac:dyDescent="0.3">
      <c r="A13" s="7"/>
      <c r="B13" s="8"/>
      <c r="C13" s="8"/>
      <c r="D13" s="9"/>
      <c r="G13" s="14">
        <f t="shared" ca="1" si="0"/>
        <v>0.77041791681387151</v>
      </c>
    </row>
    <row r="14" spans="1:7" x14ac:dyDescent="0.3">
      <c r="A14" s="7"/>
      <c r="B14" s="8"/>
      <c r="C14" s="8"/>
      <c r="D14" s="9"/>
      <c r="G14" s="14">
        <f t="shared" ca="1" si="0"/>
        <v>0.45770426344364501</v>
      </c>
    </row>
    <row r="15" spans="1:7" x14ac:dyDescent="0.3">
      <c r="A15" s="7"/>
      <c r="B15" s="8"/>
      <c r="C15" s="8"/>
      <c r="D15" s="9"/>
      <c r="G15" s="14">
        <f t="shared" ca="1" si="0"/>
        <v>0.88056841950875941</v>
      </c>
    </row>
    <row r="16" spans="1:7" x14ac:dyDescent="0.3">
      <c r="A16" s="7"/>
      <c r="B16" s="8"/>
      <c r="C16" s="8"/>
      <c r="D16" s="9"/>
      <c r="G16" s="14">
        <f t="shared" ca="1" si="0"/>
        <v>0.76191410572338869</v>
      </c>
    </row>
    <row r="17" spans="1:7" ht="15" thickBot="1" x14ac:dyDescent="0.35">
      <c r="A17" s="10"/>
      <c r="B17" s="11"/>
      <c r="C17" s="11"/>
      <c r="D17" s="12"/>
      <c r="G17" s="14">
        <f t="shared" ca="1" si="0"/>
        <v>0.66055463476367615</v>
      </c>
    </row>
    <row r="18" spans="1:7" x14ac:dyDescent="0.3">
      <c r="G18" s="14">
        <f t="shared" ca="1" si="0"/>
        <v>0.16540001110086955</v>
      </c>
    </row>
    <row r="19" spans="1:7" x14ac:dyDescent="0.3">
      <c r="G19" s="14">
        <f t="shared" ca="1" si="0"/>
        <v>4.7359052046633376E-2</v>
      </c>
    </row>
    <row r="20" spans="1:7" x14ac:dyDescent="0.3">
      <c r="G20" s="14">
        <f t="shared" ca="1" si="0"/>
        <v>0.59619239695735438</v>
      </c>
    </row>
    <row r="21" spans="1:7" x14ac:dyDescent="0.3">
      <c r="G21" s="14">
        <f t="shared" ca="1" si="0"/>
        <v>0.20119193678034508</v>
      </c>
    </row>
    <row r="22" spans="1:7" x14ac:dyDescent="0.3">
      <c r="G22" s="14">
        <f t="shared" ca="1" si="0"/>
        <v>0.12119977734812237</v>
      </c>
    </row>
    <row r="23" spans="1:7" x14ac:dyDescent="0.3">
      <c r="G23" s="14">
        <f t="shared" ca="1" si="0"/>
        <v>0.56832681655213113</v>
      </c>
    </row>
    <row r="24" spans="1:7" x14ac:dyDescent="0.3">
      <c r="G24" s="14">
        <f t="shared" ca="1" si="0"/>
        <v>0.55535386021286115</v>
      </c>
    </row>
    <row r="25" spans="1:7" x14ac:dyDescent="0.3">
      <c r="G25" s="14">
        <f t="shared" ca="1" si="0"/>
        <v>0.78132432651715578</v>
      </c>
    </row>
    <row r="26" spans="1:7" x14ac:dyDescent="0.3">
      <c r="G26" s="14">
        <f t="shared" ca="1" si="0"/>
        <v>0.93411627969882283</v>
      </c>
    </row>
    <row r="27" spans="1:7" x14ac:dyDescent="0.3">
      <c r="G27" s="14">
        <f t="shared" ca="1" si="0"/>
        <v>0.91057995262996549</v>
      </c>
    </row>
    <row r="28" spans="1:7" x14ac:dyDescent="0.3">
      <c r="G28" s="14">
        <f t="shared" ca="1" si="0"/>
        <v>0.11510692413966905</v>
      </c>
    </row>
    <row r="29" spans="1:7" x14ac:dyDescent="0.3">
      <c r="G29" s="14">
        <f t="shared" ca="1" si="0"/>
        <v>0.37165457377760835</v>
      </c>
    </row>
    <row r="30" spans="1:7" x14ac:dyDescent="0.3">
      <c r="G30" s="14">
        <f t="shared" ca="1" si="0"/>
        <v>0.23986627980677966</v>
      </c>
    </row>
    <row r="31" spans="1:7" x14ac:dyDescent="0.3">
      <c r="G31" s="14">
        <f t="shared" ca="1" si="0"/>
        <v>0.21738251540920728</v>
      </c>
    </row>
    <row r="32" spans="1:7" x14ac:dyDescent="0.3">
      <c r="G32" s="14">
        <f t="shared" ca="1" si="0"/>
        <v>0.61064665447125233</v>
      </c>
    </row>
    <row r="33" spans="7:7" x14ac:dyDescent="0.3">
      <c r="G33" s="14">
        <f t="shared" ca="1" si="0"/>
        <v>0.46451321036745485</v>
      </c>
    </row>
    <row r="34" spans="7:7" x14ac:dyDescent="0.3">
      <c r="G34" s="14">
        <f t="shared" ca="1" si="0"/>
        <v>0.94701780435510796</v>
      </c>
    </row>
    <row r="35" spans="7:7" x14ac:dyDescent="0.3">
      <c r="G35" s="14">
        <f t="shared" ca="1" si="0"/>
        <v>0.98848996429915981</v>
      </c>
    </row>
    <row r="36" spans="7:7" x14ac:dyDescent="0.3">
      <c r="G36" s="14">
        <f t="shared" ca="1" si="0"/>
        <v>0.55569128556509884</v>
      </c>
    </row>
    <row r="37" spans="7:7" x14ac:dyDescent="0.3">
      <c r="G37" s="14">
        <f t="shared" ca="1" si="0"/>
        <v>0.87362535979296441</v>
      </c>
    </row>
    <row r="38" spans="7:7" x14ac:dyDescent="0.3">
      <c r="G38" s="14">
        <f t="shared" ca="1" si="0"/>
        <v>0.28913010662937733</v>
      </c>
    </row>
    <row r="39" spans="7:7" x14ac:dyDescent="0.3">
      <c r="G39" s="14">
        <f t="shared" ca="1" si="0"/>
        <v>0.92491557627051146</v>
      </c>
    </row>
    <row r="40" spans="7:7" x14ac:dyDescent="0.3">
      <c r="G40" s="14">
        <f t="shared" ca="1" si="0"/>
        <v>0.31714637529400236</v>
      </c>
    </row>
    <row r="41" spans="7:7" x14ac:dyDescent="0.3">
      <c r="G41" s="14">
        <f t="shared" ca="1" si="0"/>
        <v>7.3485409528948997E-2</v>
      </c>
    </row>
    <row r="42" spans="7:7" x14ac:dyDescent="0.3">
      <c r="G42" s="14">
        <f t="shared" ca="1" si="0"/>
        <v>0.47531795340883221</v>
      </c>
    </row>
    <row r="43" spans="7:7" x14ac:dyDescent="0.3">
      <c r="G43" s="14">
        <f t="shared" ca="1" si="0"/>
        <v>0.18677588813643853</v>
      </c>
    </row>
    <row r="44" spans="7:7" x14ac:dyDescent="0.3">
      <c r="G44" s="14">
        <f t="shared" ca="1" si="0"/>
        <v>0.74081951888135911</v>
      </c>
    </row>
    <row r="45" spans="7:7" x14ac:dyDescent="0.3">
      <c r="G45" s="14">
        <f t="shared" ca="1" si="0"/>
        <v>0.46566191537916712</v>
      </c>
    </row>
    <row r="46" spans="7:7" x14ac:dyDescent="0.3">
      <c r="G46" s="14">
        <f t="shared" ca="1" si="0"/>
        <v>0.98715830723908604</v>
      </c>
    </row>
    <row r="47" spans="7:7" x14ac:dyDescent="0.3">
      <c r="G47" s="14">
        <f t="shared" ca="1" si="0"/>
        <v>0.55482202873272612</v>
      </c>
    </row>
    <row r="48" spans="7:7" x14ac:dyDescent="0.3">
      <c r="G48" s="14">
        <f t="shared" ca="1" si="0"/>
        <v>6.3438130157041472E-2</v>
      </c>
    </row>
    <row r="49" spans="7:7" x14ac:dyDescent="0.3">
      <c r="G49" s="14">
        <f t="shared" ca="1" si="0"/>
        <v>0.44385928432938737</v>
      </c>
    </row>
    <row r="50" spans="7:7" x14ac:dyDescent="0.3">
      <c r="G50" s="14">
        <f t="shared" ca="1" si="0"/>
        <v>0.64072591638257326</v>
      </c>
    </row>
    <row r="51" spans="7:7" x14ac:dyDescent="0.3">
      <c r="G51" s="14">
        <f t="shared" ca="1" si="0"/>
        <v>0.48786141314626652</v>
      </c>
    </row>
    <row r="52" spans="7:7" x14ac:dyDescent="0.3">
      <c r="G52" s="14">
        <f t="shared" ca="1" si="0"/>
        <v>7.2052374447973078E-2</v>
      </c>
    </row>
    <row r="53" spans="7:7" x14ac:dyDescent="0.3">
      <c r="G53" s="14">
        <f t="shared" ca="1" si="0"/>
        <v>0.5223339245677151</v>
      </c>
    </row>
    <row r="54" spans="7:7" x14ac:dyDescent="0.3">
      <c r="G54" s="14">
        <f t="shared" ca="1" si="0"/>
        <v>0.90053789859357969</v>
      </c>
    </row>
    <row r="55" spans="7:7" x14ac:dyDescent="0.3">
      <c r="G55" s="14">
        <f t="shared" ca="1" si="0"/>
        <v>3.0455553836863158E-2</v>
      </c>
    </row>
    <row r="56" spans="7:7" x14ac:dyDescent="0.3">
      <c r="G56" s="14">
        <f t="shared" ca="1" si="0"/>
        <v>0.53624761820119893</v>
      </c>
    </row>
    <row r="57" spans="7:7" x14ac:dyDescent="0.3">
      <c r="G57" s="14">
        <f t="shared" ca="1" si="0"/>
        <v>7.1357773540783764E-2</v>
      </c>
    </row>
    <row r="58" spans="7:7" x14ac:dyDescent="0.3">
      <c r="G58" s="14">
        <f t="shared" ca="1" si="0"/>
        <v>0.29698942695500696</v>
      </c>
    </row>
    <row r="59" spans="7:7" x14ac:dyDescent="0.3">
      <c r="G59" s="14">
        <f t="shared" ca="1" si="0"/>
        <v>0.74215972117608642</v>
      </c>
    </row>
    <row r="60" spans="7:7" x14ac:dyDescent="0.3">
      <c r="G60" s="14">
        <f t="shared" ca="1" si="0"/>
        <v>0.28712973323235202</v>
      </c>
    </row>
    <row r="61" spans="7:7" x14ac:dyDescent="0.3">
      <c r="G61" s="14">
        <f t="shared" ca="1" si="0"/>
        <v>0.73871600164233331</v>
      </c>
    </row>
    <row r="62" spans="7:7" x14ac:dyDescent="0.3">
      <c r="G62" s="14">
        <f t="shared" ca="1" si="0"/>
        <v>0.625778735302844</v>
      </c>
    </row>
    <row r="63" spans="7:7" x14ac:dyDescent="0.3">
      <c r="G63" s="14">
        <f t="shared" ca="1" si="0"/>
        <v>0.73276818832746449</v>
      </c>
    </row>
    <row r="64" spans="7:7" x14ac:dyDescent="0.3">
      <c r="G64" s="14">
        <f t="shared" ca="1" si="0"/>
        <v>0.62941274922420987</v>
      </c>
    </row>
    <row r="65" spans="7:7" x14ac:dyDescent="0.3">
      <c r="G65" s="14">
        <f t="shared" ca="1" si="0"/>
        <v>0.66885533153910759</v>
      </c>
    </row>
    <row r="66" spans="7:7" x14ac:dyDescent="0.3">
      <c r="G66" s="14">
        <f t="shared" ca="1" si="0"/>
        <v>0.98698233291243431</v>
      </c>
    </row>
    <row r="67" spans="7:7" x14ac:dyDescent="0.3">
      <c r="G67" s="14">
        <f t="shared" ca="1" si="0"/>
        <v>0.22469446928013059</v>
      </c>
    </row>
    <row r="68" spans="7:7" x14ac:dyDescent="0.3">
      <c r="G68" s="14">
        <f t="shared" ca="1" si="0"/>
        <v>0.38310940785390057</v>
      </c>
    </row>
    <row r="69" spans="7:7" x14ac:dyDescent="0.3">
      <c r="G69" s="14">
        <f t="shared" ca="1" si="0"/>
        <v>0.25544734757177101</v>
      </c>
    </row>
    <row r="70" spans="7:7" x14ac:dyDescent="0.3">
      <c r="G70" s="14">
        <f t="shared" ca="1" si="0"/>
        <v>8.5781131626644025E-2</v>
      </c>
    </row>
    <row r="71" spans="7:7" x14ac:dyDescent="0.3">
      <c r="G71" s="14">
        <f t="shared" ref="G71:G104" ca="1" si="1">RAND()</f>
        <v>0.38463683206012211</v>
      </c>
    </row>
    <row r="72" spans="7:7" x14ac:dyDescent="0.3">
      <c r="G72" s="14">
        <f t="shared" ca="1" si="1"/>
        <v>0.8406583108804685</v>
      </c>
    </row>
    <row r="73" spans="7:7" x14ac:dyDescent="0.3">
      <c r="G73" s="14">
        <f t="shared" ca="1" si="1"/>
        <v>0.3544084111527428</v>
      </c>
    </row>
    <row r="74" spans="7:7" x14ac:dyDescent="0.3">
      <c r="G74" s="14">
        <f t="shared" ca="1" si="1"/>
        <v>0.5482822248987923</v>
      </c>
    </row>
    <row r="75" spans="7:7" x14ac:dyDescent="0.3">
      <c r="G75" s="14">
        <f t="shared" ca="1" si="1"/>
        <v>0.56235378051325302</v>
      </c>
    </row>
    <row r="76" spans="7:7" x14ac:dyDescent="0.3">
      <c r="G76" s="14">
        <f t="shared" ca="1" si="1"/>
        <v>0.71508911227689587</v>
      </c>
    </row>
    <row r="77" spans="7:7" x14ac:dyDescent="0.3">
      <c r="G77" s="14">
        <f t="shared" ca="1" si="1"/>
        <v>0.57244515356256842</v>
      </c>
    </row>
    <row r="78" spans="7:7" x14ac:dyDescent="0.3">
      <c r="G78" s="14">
        <f t="shared" ca="1" si="1"/>
        <v>0.65938141465797673</v>
      </c>
    </row>
    <row r="79" spans="7:7" x14ac:dyDescent="0.3">
      <c r="G79" s="14">
        <f t="shared" ca="1" si="1"/>
        <v>0.8747026140756452</v>
      </c>
    </row>
    <row r="80" spans="7:7" x14ac:dyDescent="0.3">
      <c r="G80" s="14">
        <f t="shared" ca="1" si="1"/>
        <v>0.59187865690364161</v>
      </c>
    </row>
    <row r="81" spans="7:7" x14ac:dyDescent="0.3">
      <c r="G81" s="14">
        <f t="shared" ca="1" si="1"/>
        <v>0.38124678743397111</v>
      </c>
    </row>
    <row r="82" spans="7:7" x14ac:dyDescent="0.3">
      <c r="G82" s="14">
        <f t="shared" ca="1" si="1"/>
        <v>5.6797266153564618E-2</v>
      </c>
    </row>
    <row r="83" spans="7:7" x14ac:dyDescent="0.3">
      <c r="G83" s="14">
        <f t="shared" ca="1" si="1"/>
        <v>0.80816370206457477</v>
      </c>
    </row>
    <row r="84" spans="7:7" x14ac:dyDescent="0.3">
      <c r="G84" s="14">
        <f t="shared" ca="1" si="1"/>
        <v>8.3609193922227543E-2</v>
      </c>
    </row>
    <row r="85" spans="7:7" x14ac:dyDescent="0.3">
      <c r="G85" s="14">
        <f t="shared" ca="1" si="1"/>
        <v>0.40123614202983238</v>
      </c>
    </row>
    <row r="86" spans="7:7" x14ac:dyDescent="0.3">
      <c r="G86" s="14">
        <f t="shared" ca="1" si="1"/>
        <v>0.80975380638590144</v>
      </c>
    </row>
    <row r="87" spans="7:7" x14ac:dyDescent="0.3">
      <c r="G87" s="14">
        <f t="shared" ca="1" si="1"/>
        <v>0.22304303170467898</v>
      </c>
    </row>
    <row r="88" spans="7:7" x14ac:dyDescent="0.3">
      <c r="G88" s="14">
        <f t="shared" ca="1" si="1"/>
        <v>0.2352292197210839</v>
      </c>
    </row>
    <row r="89" spans="7:7" x14ac:dyDescent="0.3">
      <c r="G89" s="14">
        <f t="shared" ca="1" si="1"/>
        <v>0.89472502966996592</v>
      </c>
    </row>
    <row r="90" spans="7:7" x14ac:dyDescent="0.3">
      <c r="G90" s="14">
        <f t="shared" ca="1" si="1"/>
        <v>0.66797033036247522</v>
      </c>
    </row>
    <row r="91" spans="7:7" x14ac:dyDescent="0.3">
      <c r="G91" s="14">
        <f t="shared" ca="1" si="1"/>
        <v>0.71241395769712768</v>
      </c>
    </row>
    <row r="92" spans="7:7" x14ac:dyDescent="0.3">
      <c r="G92" s="14">
        <f t="shared" ca="1" si="1"/>
        <v>0.37167372933996001</v>
      </c>
    </row>
    <row r="93" spans="7:7" x14ac:dyDescent="0.3">
      <c r="G93" s="14">
        <f t="shared" ca="1" si="1"/>
        <v>8.3089490605289584E-2</v>
      </c>
    </row>
    <row r="94" spans="7:7" x14ac:dyDescent="0.3">
      <c r="G94" s="14">
        <f t="shared" ca="1" si="1"/>
        <v>6.7576321459772992E-2</v>
      </c>
    </row>
    <row r="95" spans="7:7" x14ac:dyDescent="0.3">
      <c r="G95" s="14">
        <f t="shared" ca="1" si="1"/>
        <v>0.39353462905470249</v>
      </c>
    </row>
    <row r="96" spans="7:7" x14ac:dyDescent="0.3">
      <c r="G96" s="14">
        <f t="shared" ca="1" si="1"/>
        <v>4.6415923089164757E-2</v>
      </c>
    </row>
    <row r="97" spans="7:7" x14ac:dyDescent="0.3">
      <c r="G97" s="14">
        <f t="shared" ca="1" si="1"/>
        <v>0.78142017516293838</v>
      </c>
    </row>
    <row r="98" spans="7:7" x14ac:dyDescent="0.3">
      <c r="G98" s="14">
        <f t="shared" ca="1" si="1"/>
        <v>7.9111514931661464E-2</v>
      </c>
    </row>
    <row r="99" spans="7:7" x14ac:dyDescent="0.3">
      <c r="G99" s="14">
        <f t="shared" ca="1" si="1"/>
        <v>8.1831741334310704E-2</v>
      </c>
    </row>
    <row r="100" spans="7:7" x14ac:dyDescent="0.3">
      <c r="G100" s="14">
        <f t="shared" ca="1" si="1"/>
        <v>0.53521796431899726</v>
      </c>
    </row>
    <row r="101" spans="7:7" x14ac:dyDescent="0.3">
      <c r="G101" s="14">
        <f t="shared" ca="1" si="1"/>
        <v>0.67368776693724464</v>
      </c>
    </row>
    <row r="102" spans="7:7" x14ac:dyDescent="0.3">
      <c r="G102" s="14">
        <f t="shared" ca="1" si="1"/>
        <v>1.5898579632545151E-2</v>
      </c>
    </row>
    <row r="103" spans="7:7" x14ac:dyDescent="0.3">
      <c r="G103" s="14">
        <f t="shared" ca="1" si="1"/>
        <v>0.61752259588211256</v>
      </c>
    </row>
    <row r="104" spans="7:7" x14ac:dyDescent="0.3">
      <c r="G104" s="14">
        <f t="shared" ca="1" si="1"/>
        <v>0.50104968961885499</v>
      </c>
    </row>
    <row r="105" spans="7:7" x14ac:dyDescent="0.3">
      <c r="G105" s="14">
        <f ca="1">RAND()</f>
        <v>0.42013386455941748</v>
      </c>
    </row>
  </sheetData>
  <mergeCells count="1">
    <mergeCell ref="A5:D17"/>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3E32E-2B19-4BEB-8F6C-B44944F12654}">
  <dimension ref="A1:B8"/>
  <sheetViews>
    <sheetView workbookViewId="0">
      <selection activeCell="L2" sqref="L2"/>
    </sheetView>
  </sheetViews>
  <sheetFormatPr defaultRowHeight="14.4" x14ac:dyDescent="0.3"/>
  <sheetData>
    <row r="1" spans="1:2" x14ac:dyDescent="0.3">
      <c r="A1" s="1" t="s">
        <v>0</v>
      </c>
      <c r="B1" t="s">
        <v>3</v>
      </c>
    </row>
    <row r="3" spans="1:2" x14ac:dyDescent="0.3">
      <c r="A3" s="1" t="s">
        <v>9</v>
      </c>
    </row>
    <row r="4" spans="1:2" x14ac:dyDescent="0.3">
      <c r="B4" t="s">
        <v>15</v>
      </c>
    </row>
    <row r="5" spans="1:2" x14ac:dyDescent="0.3">
      <c r="B5" t="s">
        <v>16</v>
      </c>
    </row>
    <row r="6" spans="1:2" x14ac:dyDescent="0.3">
      <c r="B6" t="s">
        <v>17</v>
      </c>
    </row>
    <row r="8" spans="1:2" x14ac:dyDescent="0.3">
      <c r="A8" t="s">
        <v>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FBE03-203F-47F2-820E-C26E0B3DF105}">
  <dimension ref="A1:G21"/>
  <sheetViews>
    <sheetView workbookViewId="0">
      <selection activeCell="G11" sqref="G11"/>
    </sheetView>
  </sheetViews>
  <sheetFormatPr defaultRowHeight="14.4" x14ac:dyDescent="0.3"/>
  <cols>
    <col min="2" max="2" width="19.33203125" customWidth="1"/>
  </cols>
  <sheetData>
    <row r="1" spans="1:7" x14ac:dyDescent="0.3">
      <c r="A1" s="1" t="s">
        <v>0</v>
      </c>
      <c r="B1" t="s">
        <v>4</v>
      </c>
    </row>
    <row r="3" spans="1:7" x14ac:dyDescent="0.3">
      <c r="A3" s="1" t="s">
        <v>9</v>
      </c>
    </row>
    <row r="4" spans="1:7" x14ac:dyDescent="0.3">
      <c r="A4" t="s">
        <v>29</v>
      </c>
    </row>
    <row r="6" spans="1:7" x14ac:dyDescent="0.3">
      <c r="A6" t="s">
        <v>33</v>
      </c>
    </row>
    <row r="8" spans="1:7" x14ac:dyDescent="0.3">
      <c r="A8" t="s">
        <v>30</v>
      </c>
    </row>
    <row r="9" spans="1:7" x14ac:dyDescent="0.3">
      <c r="B9" s="1" t="s">
        <v>31</v>
      </c>
      <c r="D9" s="19" t="s">
        <v>49</v>
      </c>
      <c r="E9" s="17" t="s">
        <v>47</v>
      </c>
      <c r="G9" t="s">
        <v>32</v>
      </c>
    </row>
    <row r="10" spans="1:7" x14ac:dyDescent="0.3">
      <c r="E10" s="18" t="s">
        <v>48</v>
      </c>
    </row>
    <row r="12" spans="1:7" x14ac:dyDescent="0.3">
      <c r="A12" t="s">
        <v>34</v>
      </c>
      <c r="B12" t="s">
        <v>41</v>
      </c>
    </row>
    <row r="13" spans="1:7" x14ac:dyDescent="0.3">
      <c r="B13" s="16" t="s">
        <v>42</v>
      </c>
      <c r="C13" s="16" t="s">
        <v>43</v>
      </c>
      <c r="D13" s="15" t="s">
        <v>38</v>
      </c>
      <c r="F13" t="s">
        <v>39</v>
      </c>
      <c r="G13">
        <f>AVERAGE(C14:C16)</f>
        <v>50000</v>
      </c>
    </row>
    <row r="14" spans="1:7" x14ac:dyDescent="0.3">
      <c r="B14" s="14" t="s">
        <v>35</v>
      </c>
      <c r="C14" s="14">
        <v>30000</v>
      </c>
      <c r="D14" s="15">
        <f>(C14-G13)/G14</f>
        <v>-1.2247448713915892</v>
      </c>
      <c r="F14" t="s">
        <v>40</v>
      </c>
      <c r="G14">
        <f>_xlfn.STDEV.P(C14:C16)</f>
        <v>16329.931618554519</v>
      </c>
    </row>
    <row r="15" spans="1:7" x14ac:dyDescent="0.3">
      <c r="B15" s="14" t="s">
        <v>36</v>
      </c>
      <c r="C15" s="14">
        <v>50000</v>
      </c>
      <c r="D15" s="15">
        <f>(C15-G13)/G14</f>
        <v>0</v>
      </c>
    </row>
    <row r="16" spans="1:7" x14ac:dyDescent="0.3">
      <c r="B16" s="14" t="s">
        <v>37</v>
      </c>
      <c r="C16" s="14">
        <v>70000</v>
      </c>
      <c r="D16" s="15">
        <f>(C16-G13)/G14</f>
        <v>1.2247448713915892</v>
      </c>
    </row>
    <row r="18" spans="1:3" x14ac:dyDescent="0.3">
      <c r="B18" s="13" t="s">
        <v>44</v>
      </c>
      <c r="C18" s="15">
        <f>AVERAGE(D14:D16)</f>
        <v>0</v>
      </c>
    </row>
    <row r="19" spans="1:3" x14ac:dyDescent="0.3">
      <c r="B19" s="13" t="s">
        <v>45</v>
      </c>
      <c r="C19" s="15">
        <f>_xlfn.STDEV.P(D14:D16)</f>
        <v>1</v>
      </c>
    </row>
    <row r="21" spans="1:3" x14ac:dyDescent="0.3">
      <c r="A21" t="s">
        <v>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5541C-1EC3-4F82-8A8E-9B89B490AE21}">
  <dimension ref="A1:B8"/>
  <sheetViews>
    <sheetView workbookViewId="0">
      <selection activeCell="D19" sqref="D19"/>
    </sheetView>
  </sheetViews>
  <sheetFormatPr defaultRowHeight="14.4" x14ac:dyDescent="0.3"/>
  <sheetData>
    <row r="1" spans="1:2" x14ac:dyDescent="0.3">
      <c r="A1" s="1" t="s">
        <v>0</v>
      </c>
      <c r="B1" t="s">
        <v>5</v>
      </c>
    </row>
    <row r="3" spans="1:2" x14ac:dyDescent="0.3">
      <c r="A3" s="1" t="s">
        <v>9</v>
      </c>
    </row>
    <row r="4" spans="1:2" x14ac:dyDescent="0.3">
      <c r="A4" t="s">
        <v>19</v>
      </c>
    </row>
    <row r="5" spans="1:2" x14ac:dyDescent="0.3">
      <c r="A5" t="s">
        <v>22</v>
      </c>
    </row>
    <row r="6" spans="1:2" x14ac:dyDescent="0.3">
      <c r="A6" t="s">
        <v>20</v>
      </c>
    </row>
    <row r="7" spans="1:2" x14ac:dyDescent="0.3">
      <c r="A7" t="s">
        <v>21</v>
      </c>
    </row>
    <row r="8" spans="1:2" x14ac:dyDescent="0.3">
      <c r="A8" t="s">
        <v>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3CC64-732A-42C5-BF0E-63E5ECDB8B05}">
  <dimension ref="A1:B3"/>
  <sheetViews>
    <sheetView workbookViewId="0">
      <selection activeCell="F18" sqref="F18"/>
    </sheetView>
  </sheetViews>
  <sheetFormatPr defaultRowHeight="14.4" x14ac:dyDescent="0.3"/>
  <sheetData>
    <row r="1" spans="1:2" x14ac:dyDescent="0.3">
      <c r="A1" s="1" t="s">
        <v>0</v>
      </c>
      <c r="B1" t="s">
        <v>6</v>
      </c>
    </row>
    <row r="3" spans="1:2" x14ac:dyDescent="0.3">
      <c r="A3" s="1" t="s">
        <v>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A481C-6DB0-4E86-A311-AFBBABA990F2}">
  <dimension ref="A1:I8"/>
  <sheetViews>
    <sheetView workbookViewId="0">
      <selection activeCell="I8" sqref="I8"/>
    </sheetView>
  </sheetViews>
  <sheetFormatPr defaultRowHeight="14.4" x14ac:dyDescent="0.3"/>
  <cols>
    <col min="1" max="1" width="12.21875" bestFit="1" customWidth="1"/>
  </cols>
  <sheetData>
    <row r="1" spans="1:9" x14ac:dyDescent="0.3">
      <c r="A1" s="1" t="s">
        <v>0</v>
      </c>
      <c r="B1" t="s">
        <v>7</v>
      </c>
    </row>
    <row r="3" spans="1:9" x14ac:dyDescent="0.3">
      <c r="A3" s="1" t="s">
        <v>9</v>
      </c>
    </row>
    <row r="4" spans="1:9" x14ac:dyDescent="0.3">
      <c r="A4" t="s">
        <v>11</v>
      </c>
      <c r="B4">
        <v>15</v>
      </c>
    </row>
    <row r="5" spans="1:9" x14ac:dyDescent="0.3">
      <c r="A5" t="s">
        <v>24</v>
      </c>
      <c r="B5">
        <v>8</v>
      </c>
    </row>
    <row r="6" spans="1:9" x14ac:dyDescent="0.3">
      <c r="A6" t="s">
        <v>25</v>
      </c>
      <c r="B6">
        <v>0.5</v>
      </c>
    </row>
    <row r="8" spans="1:9" x14ac:dyDescent="0.3">
      <c r="A8" s="1" t="s">
        <v>26</v>
      </c>
      <c r="I8" s="3">
        <f>_xlfn.BINOM.DIST(B5,B4,B6,TRUE)</f>
        <v>0.69638061523437489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CEA66-1D43-4850-B4A4-6853B4D285C2}">
  <dimension ref="A1:B11"/>
  <sheetViews>
    <sheetView tabSelected="1" workbookViewId="0">
      <selection activeCell="N23" sqref="N23"/>
    </sheetView>
  </sheetViews>
  <sheetFormatPr defaultRowHeight="14.4" x14ac:dyDescent="0.3"/>
  <sheetData>
    <row r="1" spans="1:2" x14ac:dyDescent="0.3">
      <c r="A1" s="1" t="s">
        <v>0</v>
      </c>
      <c r="B1" t="s">
        <v>8</v>
      </c>
    </row>
    <row r="3" spans="1:2" x14ac:dyDescent="0.3">
      <c r="A3" s="1" t="s">
        <v>9</v>
      </c>
    </row>
    <row r="4" spans="1:2" x14ac:dyDescent="0.3">
      <c r="A4" s="20" t="s">
        <v>51</v>
      </c>
    </row>
    <row r="5" spans="1:2" x14ac:dyDescent="0.3">
      <c r="A5" s="20" t="s">
        <v>52</v>
      </c>
    </row>
    <row r="6" spans="1:2" x14ac:dyDescent="0.3">
      <c r="A6" t="s">
        <v>50</v>
      </c>
    </row>
    <row r="7" spans="1:2" x14ac:dyDescent="0.3">
      <c r="A7" s="21" t="s">
        <v>53</v>
      </c>
    </row>
    <row r="9" spans="1:2" x14ac:dyDescent="0.3">
      <c r="A9" t="s">
        <v>54</v>
      </c>
    </row>
    <row r="10" spans="1:2" x14ac:dyDescent="0.3">
      <c r="A10" t="s">
        <v>55</v>
      </c>
    </row>
    <row r="11" spans="1:2" x14ac:dyDescent="0.3">
      <c r="A1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Q1</vt:lpstr>
      <vt:lpstr>Q2</vt:lpstr>
      <vt:lpstr>Q3</vt:lpstr>
      <vt:lpstr>Q4</vt:lpstr>
      <vt:lpstr>Q5</vt:lpstr>
      <vt:lpstr>Q6</vt:lpstr>
      <vt:lpstr>Q7</vt:lpstr>
      <vt:lpstr>Q8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Shirodkar</dc:creator>
  <cp:lastModifiedBy>Abhishek Shirodkar</cp:lastModifiedBy>
  <dcterms:created xsi:type="dcterms:W3CDTF">2025-12-27T08:02:38Z</dcterms:created>
  <dcterms:modified xsi:type="dcterms:W3CDTF">2026-01-06T15:12:43Z</dcterms:modified>
</cp:coreProperties>
</file>