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2e4e32c79d5415/Desktop/Hrushikesh/PW SKILLS ASSIGNMENTS/Statistics/"/>
    </mc:Choice>
  </mc:AlternateContent>
  <xr:revisionPtr revIDLastSave="641" documentId="8_{C956D76F-20B9-4D1A-94DA-75BD9F13012B}" xr6:coauthVersionLast="47" xr6:coauthVersionMax="47" xr10:uidLastSave="{4C58DAD4-EF13-49C2-A7D3-19683B242C29}"/>
  <bookViews>
    <workbookView xWindow="-108" yWindow="-108" windowWidth="23256" windowHeight="12456" activeTab="6" xr2:uid="{A46C6F56-6BF3-4F5A-BD81-7A75E92344AA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7" l="1"/>
  <c r="I52" i="7"/>
  <c r="M45" i="7"/>
  <c r="K44" i="7"/>
  <c r="D42" i="7"/>
  <c r="F42" i="7"/>
  <c r="F37" i="7"/>
  <c r="F38" i="7"/>
  <c r="F39" i="7"/>
  <c r="F40" i="7"/>
  <c r="F41" i="7"/>
  <c r="F36" i="7"/>
  <c r="E36" i="7"/>
  <c r="E41" i="7"/>
  <c r="E40" i="7"/>
  <c r="E39" i="7"/>
  <c r="E38" i="7"/>
  <c r="E37" i="7"/>
  <c r="E31" i="7"/>
  <c r="E30" i="7"/>
  <c r="E26" i="7"/>
  <c r="E25" i="7"/>
  <c r="E24" i="7"/>
  <c r="E23" i="7"/>
  <c r="E22" i="7"/>
  <c r="E21" i="7"/>
  <c r="E69" i="8"/>
  <c r="F64" i="8"/>
  <c r="E62" i="8"/>
  <c r="E61" i="8"/>
  <c r="E60" i="8"/>
  <c r="E59" i="8"/>
  <c r="D42" i="8"/>
  <c r="D39" i="8"/>
  <c r="D36" i="8"/>
  <c r="D33" i="8"/>
  <c r="C31" i="5"/>
  <c r="G25" i="5"/>
</calcChain>
</file>

<file path=xl/sharedStrings.xml><?xml version="1.0" encoding="utf-8"?>
<sst xmlns="http://schemas.openxmlformats.org/spreadsheetml/2006/main" count="275" uniqueCount="191">
  <si>
    <t>Question:-</t>
  </si>
  <si>
    <t>What is a null hypothesis (H₀) and why is it important in hypothesis testing?</t>
  </si>
  <si>
    <t>Answer:-</t>
  </si>
  <si>
    <t>What does the significance level (α) represent in hypothesis testing?</t>
  </si>
  <si>
    <t>Differentiate between Type I and Type II errors.</t>
  </si>
  <si>
    <t>Explain the difference between a one-tailed and two-tailed test. Give an example of each</t>
  </si>
  <si>
    <t>A company claims that the average time to resolve a customer complaint is 10 minutes. A random sample of 9 complaints gives an average time of 12 minutes and a standard deviation of 3 minutes. At α = 0.05, test the claim.</t>
  </si>
  <si>
    <t>When should you use a Z-test instead of a t-test?</t>
  </si>
  <si>
    <t>The productivity of 6 employees was measured before and after a training program.</t>
  </si>
  <si>
    <t>At α = 0.05, test if the training improved productivity.</t>
  </si>
  <si>
    <t>Employee</t>
  </si>
  <si>
    <t>Before</t>
  </si>
  <si>
    <t>After</t>
  </si>
  <si>
    <t>A company wants to test if product preference is independent of gender.</t>
  </si>
  <si>
    <t>At α = 0.05, test independence</t>
  </si>
  <si>
    <t>Gender</t>
  </si>
  <si>
    <t>Product A</t>
  </si>
  <si>
    <t>Product B</t>
  </si>
  <si>
    <t>Total</t>
  </si>
  <si>
    <t>Male</t>
  </si>
  <si>
    <t>Female</t>
  </si>
  <si>
    <t xml:space="preserve"> According to H₀, any observed variation in the data is attributed to random chance rather than a real underlying effect.</t>
  </si>
  <si>
    <t>Importance:-</t>
  </si>
  <si>
    <t>In hypothesis testing, we begin by assuming that the null hypothesis is true and then evaluate whether the collected data provides sufficient evidence to reject it.</t>
  </si>
  <si>
    <t>This approach helps determine whether an observed pattern is meaningful or simply the result of random variation.</t>
  </si>
  <si>
    <t>The null hypothesis (H₀) is the starting assumption in statistical hypothesis testing. It states that there is no significant effect, difference, or relationship between the variables being studied.</t>
  </si>
  <si>
    <t>The null hypothesis also serves as a benchmark for calculating probabilities, such as the p-value. Based on the test results, we can either reject or fail to reject the null hypothesis, but it is never accepted as an absolute truth.</t>
  </si>
  <si>
    <t>The significance level, denoted by α (alpha), represents the probability of rejecting the null hypothesis (H₀) when it is actually true.</t>
  </si>
  <si>
    <t>In other words, it defines the maximum level of risk we are willing to accept for making a Type I error, also known as a false positive.</t>
  </si>
  <si>
    <t>For e.g:-</t>
  </si>
  <si>
    <t>Choosing a significance level of 0.05 implies that we accept a 5% chance that the observed results are due to random variation rather than a true effect.</t>
  </si>
  <si>
    <t>In statistical testing, the α value is used to establish the critical region of the sampling distribution.</t>
  </si>
  <si>
    <t>If the calculated p-value is less than α, the result is considered statistically significant, and the null hypothesis is rejected.</t>
  </si>
  <si>
    <t>Type I and Type II errors represent the two possible ways incorrect conclusions can occur in hypothesis testing</t>
  </si>
  <si>
    <t>Type I:-</t>
  </si>
  <si>
    <t>A Type I error occurs when the null hypothesis is rejected even though it is actually true.</t>
  </si>
  <si>
    <t>For eg:-</t>
  </si>
  <si>
    <t>A doctor incorrectly telling a healthy patient they are sick</t>
  </si>
  <si>
    <t>This error is commonly referred to as a False Positive/ α (alpha).</t>
  </si>
  <si>
    <t>Type II:-</t>
  </si>
  <si>
    <t>Type II error occurs when we fail to reject the null hypothesis even though it is false.</t>
  </si>
  <si>
    <t>This error is commonly referred to as a False Negative/ β (beta).</t>
  </si>
  <si>
    <t>A doctor telling a sick patient they are healthy</t>
  </si>
  <si>
    <t>It can cause due to Chance or luck, often related to a high significance level (low p-value).</t>
  </si>
  <si>
    <t xml:space="preserve">It can cause due to Smaller sample sizes or less powerful tests, often related to a low significance level (high p-value) </t>
  </si>
  <si>
    <t>Basically, the difference comes to whether we are looking for a specific direction of change or just any change at all.</t>
  </si>
  <si>
    <t>A one-tailed test is used when you have a directional hypothesis (e.g., "greater than" or "less than"), and you're only looking for a significant effect in one specific direction.</t>
  </si>
  <si>
    <t>One tailed test is used  to see if a variable is greater than or less than a certain value, focusing only on one side of the distribution and the alternative hypothesis uses a directional sign (e.g., &gt; or &lt;).</t>
  </si>
  <si>
    <t>A two-tailed test is used for a non-directional hypothesis (e.g., "not equal to") and is designed to detect a significant difference in either direction (positive or negative).</t>
  </si>
  <si>
    <t xml:space="preserve">It is used to see if a variable is simply different from a certain value, without specifying if it will be higher or lower, and the alternative hypothesis uses a non-directional sign (e.g., ≠). </t>
  </si>
  <si>
    <t xml:space="preserve">A researcher wants to know if a new medication has any effect on blood pressure. </t>
  </si>
  <si>
    <t>The alternative hypothesis is that the mean blood pressure with the new medication is not equal to the mean with the old medication (Ha ∶ μnew ≠ μold) which could be either an increase or a decrease.</t>
  </si>
  <si>
    <t>A company wants to prove a new marketing campaign will increase sales.</t>
  </si>
  <si>
    <t xml:space="preserve"> The alternative hypothesis is that the mean sales with the new campaign are greater than the mean sales with the old campaign (𝐻𝑎 ∶ 𝜇𝑛𝑒𝑤 &gt; 𝜇𝑜𝑙𝑑) vice versa.</t>
  </si>
  <si>
    <t>Given:-</t>
  </si>
  <si>
    <t>Hypothesized population mean(µ)</t>
  </si>
  <si>
    <t>Sample size (n)</t>
  </si>
  <si>
    <t>Sample mean (x̄)</t>
  </si>
  <si>
    <t>Significance level</t>
  </si>
  <si>
    <t>Step 1:-</t>
  </si>
  <si>
    <t>Frame the hypothesis</t>
  </si>
  <si>
    <t>Null Hypothesis (𝐻0):-𝜇=10 minutes (Average time to resolve customer complaint is 10 minutes).</t>
  </si>
  <si>
    <t>Step 2:-</t>
  </si>
  <si>
    <t>Select the test.</t>
  </si>
  <si>
    <t>Step 3:-</t>
  </si>
  <si>
    <t>Calculate the Test Statistic.</t>
  </si>
  <si>
    <r>
      <t xml:space="preserve">Since the sample size is small (𝑛)  and the population standard deviation is unknown , a </t>
    </r>
    <r>
      <rPr>
        <b/>
        <sz val="11"/>
        <color theme="1"/>
        <rFont val="Calibri"/>
        <family val="2"/>
        <scheme val="minor"/>
      </rPr>
      <t xml:space="preserve">one-sample t-test </t>
    </r>
    <r>
      <rPr>
        <sz val="11"/>
        <color theme="1"/>
        <rFont val="Calibri"/>
        <family val="2"/>
        <scheme val="minor"/>
      </rPr>
      <t>is appropriate.</t>
    </r>
  </si>
  <si>
    <t>Formula for one-sample t-test:-</t>
  </si>
  <si>
    <t>t=</t>
  </si>
  <si>
    <t>Sample Standard deviation(s)</t>
  </si>
  <si>
    <t xml:space="preserve">Sample Standard deviation(s) / </t>
  </si>
  <si>
    <t>Square root of sample size  √n</t>
  </si>
  <si>
    <t>Sample mean (x̄) - Hypothesized population mean(µ)</t>
  </si>
  <si>
    <t>(x̄) - (µ)</t>
  </si>
  <si>
    <t>s   /  √n</t>
  </si>
  <si>
    <t>i.e</t>
  </si>
  <si>
    <t>12-10</t>
  </si>
  <si>
    <t>3/ √9</t>
  </si>
  <si>
    <t>The calculated test statistic is 𝑡=2.</t>
  </si>
  <si>
    <t>Step 4:- Determine the Critical value/p-value using t-table</t>
  </si>
  <si>
    <t>The significance level given is 0.05</t>
  </si>
  <si>
    <t>We have to calculate degree of freedom(d.f) using formula i.e (n-1).</t>
  </si>
  <si>
    <t>d.f=</t>
  </si>
  <si>
    <t>9-1</t>
  </si>
  <si>
    <t>Alternate Hypothesis  (𝐻𝑎): 𝜇≠10 minutes(two tailed)  (Average time to resolve customer complaint is not 10 minutes).</t>
  </si>
  <si>
    <t>Now we use t-table to get critical value:- here we are finding the difference so we will refer two tails from table</t>
  </si>
  <si>
    <r>
      <t xml:space="preserve">For a two-tailed test with significance level=0.05 and d.f=8, the critical t values are approximately </t>
    </r>
    <r>
      <rPr>
        <b/>
        <sz val="11"/>
        <color theme="1"/>
        <rFont val="Calibri"/>
        <family val="2"/>
        <scheme val="minor"/>
      </rPr>
      <t>2.306.</t>
    </r>
  </si>
  <si>
    <t>Step 5:-</t>
  </si>
  <si>
    <t>Make a Decision</t>
  </si>
  <si>
    <t>The calculated t-statistic (2) is less than the critical t-value (2.306) i.e t.Calculated &lt; t.Critical, i.e  2 &lt; 2.306.</t>
  </si>
  <si>
    <t>Hence, failed to reject H0, i.e We have to accept Null Hypothesis.</t>
  </si>
  <si>
    <t>And we have to reject the Alternate hypothesis (Ha)</t>
  </si>
  <si>
    <t xml:space="preserve">Step 6:- </t>
  </si>
  <si>
    <t>Conclusion</t>
  </si>
  <si>
    <t>At the 𝛼=0.05 significance level, the evidence is not sufficient to reject the company's claim that the average time to resolve a customer complaint is 10 minutes.</t>
  </si>
  <si>
    <t>There is not enough statistical evidence at the 𝛼=0.05 significance level to conclude that the true average time to resolve a customer complaint is significantly different from the company's claim of 10 minutes.</t>
  </si>
  <si>
    <t>Hence the average complaint resolution time still be considered 10 mins.</t>
  </si>
  <si>
    <t>We should use a Z-test when the population standard deviation (𝜎) is known and the sample size is large (𝑛≥30)</t>
  </si>
  <si>
    <t>And we use a t-test when the population standard deviation is unknown, and especially with small sample sizes (𝑛&lt;30).</t>
  </si>
  <si>
    <t>To test if product preference is independent of gender, a Chi-squared test for independence is used.</t>
  </si>
  <si>
    <t>Significance:-0.05</t>
  </si>
  <si>
    <t>Null Hypothesis (𝐻0): Product preference is independent of gender.</t>
  </si>
  <si>
    <t>Alternative Hypothesis (𝐻𝑎): Product preference is dependent on gender.</t>
  </si>
  <si>
    <t>Observed Frequencies given in table:-</t>
  </si>
  <si>
    <t>Step 4:-</t>
  </si>
  <si>
    <t>The expected frequency for each cell is calculated using the formula:</t>
  </si>
  <si>
    <t>Calculate the observed frequencies(O)</t>
  </si>
  <si>
    <t>E=</t>
  </si>
  <si>
    <t xml:space="preserve">Row total </t>
  </si>
  <si>
    <t>x</t>
  </si>
  <si>
    <t>Column Total</t>
  </si>
  <si>
    <t>Grand Total</t>
  </si>
  <si>
    <t>E</t>
  </si>
  <si>
    <t>Expected Frequency for Male/Product A</t>
  </si>
  <si>
    <t xml:space="preserve"> E.M.A=</t>
  </si>
  <si>
    <t>50 X 40</t>
  </si>
  <si>
    <t xml:space="preserve"> i.e</t>
  </si>
  <si>
    <t>E.M.B=</t>
  </si>
  <si>
    <t>50 X 60</t>
  </si>
  <si>
    <t>E.F.A=</t>
  </si>
  <si>
    <t>E.F.B=</t>
  </si>
  <si>
    <t>Note:-</t>
  </si>
  <si>
    <t>Expected Frequency for Male/Product B</t>
  </si>
  <si>
    <t>Expected Frequency for Female/Product A</t>
  </si>
  <si>
    <t>Expected Frequency for Female/Product B</t>
  </si>
  <si>
    <t>So the Expected frequencies are:-</t>
  </si>
  <si>
    <t>Calculate the Expected frequencies (E)</t>
  </si>
  <si>
    <t xml:space="preserve">Calculate Chi-Squared Test Statistic (𝝌𝟐) </t>
  </si>
  <si>
    <t>Formula:-</t>
  </si>
  <si>
    <t>(𝝌𝟐) =</t>
  </si>
  <si>
    <t>(𝑂−𝐸)2 /E</t>
  </si>
  <si>
    <t>∑(𝑂−𝐸)2 /E</t>
  </si>
  <si>
    <t>where,</t>
  </si>
  <si>
    <t>O=Observed Frequency</t>
  </si>
  <si>
    <t>E= Expected Frequency</t>
  </si>
  <si>
    <t>Product</t>
  </si>
  <si>
    <t>O</t>
  </si>
  <si>
    <t>A</t>
  </si>
  <si>
    <t>B</t>
  </si>
  <si>
    <t>Summing these values gives the test statistic: 𝜒2=</t>
  </si>
  <si>
    <t>Calculate Degree of freedom(d.f)</t>
  </si>
  <si>
    <t>The degrees of freedom are calculated as: 𝑑𝑓=(𝑟−1)×(𝑐−1), where 𝑟 is the number of rows and 𝑐 is the number of columns.</t>
  </si>
  <si>
    <t>(2-1)x(2-1)</t>
  </si>
  <si>
    <t>Step 6:-</t>
  </si>
  <si>
    <t>Find out Critical value using Chi-square table</t>
  </si>
  <si>
    <t>Significance level:-</t>
  </si>
  <si>
    <t>d.f:-</t>
  </si>
  <si>
    <t>Step 7:-</t>
  </si>
  <si>
    <t>Critcial=</t>
  </si>
  <si>
    <t>Critcial value=</t>
  </si>
  <si>
    <t>Calculated=</t>
  </si>
  <si>
    <t xml:space="preserve">Since the Calculated value is greated than Critical value i.e  Test Statistic (𝜒2 ≈ 16.66) &gt; Critical Value (3.841).  </t>
  </si>
  <si>
    <t>Hence the test statistic is greater than the critical value, we reject the null hypothesis (𝐻0), and accept the Alternate Hypothesis  (𝐻𝑎).</t>
  </si>
  <si>
    <t>Step 8:-</t>
  </si>
  <si>
    <t>At the 0.05 significance level, there is sufficient evidence to conclude that product preference is dependent on (or associated with) gender.</t>
  </si>
  <si>
    <t>α = 0.05</t>
  </si>
  <si>
    <t>Null Hypothesis (𝐻0): The training program did not improve productivity</t>
  </si>
  <si>
    <t>Alternative Hypothesis (𝐻𝑎): The training program improved productivity</t>
  </si>
  <si>
    <t>Calculate the Differences and Descriptive Statistics</t>
  </si>
  <si>
    <t>First, calculate the difference (𝑑𝑖) for each employee (After - Before).</t>
  </si>
  <si>
    <t>Difference di= A-B</t>
  </si>
  <si>
    <t>Next, calculate the mean of the differences (𝑑̄) and the standard deviation of the differences (𝑠𝑑).</t>
  </si>
  <si>
    <t>Sum of differences (Σ𝑑𝑖) =5+5+1+3+1+3</t>
  </si>
  <si>
    <t>Mean difference (𝑑̄) = 𝛴𝑑𝑖/𝑛=18/6</t>
  </si>
  <si>
    <t xml:space="preserve">Sample size (𝑛) = </t>
  </si>
  <si>
    <t>To find the standard deviation (𝑠𝑑), first calculate the sum of squared deviations from the mean:</t>
  </si>
  <si>
    <t>Difference (𝑑𝑖)</t>
  </si>
  <si>
    <t>𝒅𝒊−𝒅 ̄</t>
  </si>
  <si>
    <t>(𝒅𝒊−𝒅 ̄)𝟐</t>
  </si>
  <si>
    <t>Sample variance of differences (𝑠2𝑑) =</t>
  </si>
  <si>
    <t>Σ(𝑑𝑖−𝑑̄)2/(𝑛−1)</t>
  </si>
  <si>
    <t>16/(6−1)</t>
  </si>
  <si>
    <t>16/5</t>
  </si>
  <si>
    <t>Sample standard deviation of differences (𝑠𝑑)= Square root of Sample variance of differences</t>
  </si>
  <si>
    <t>Square root of 3.2</t>
  </si>
  <si>
    <t>Calculate the Test Statistic</t>
  </si>
  <si>
    <t>The t-test statistic is calculated using the formula:</t>
  </si>
  <si>
    <t xml:space="preserve">𝑑̄−𝜇𝑑 </t>
  </si>
  <si>
    <t xml:space="preserve">𝑠𝑑 / √𝑛 </t>
  </si>
  <si>
    <t>3-0</t>
  </si>
  <si>
    <t>1.789/√6</t>
  </si>
  <si>
    <t>Under the null hypothesis, 𝜇𝑑=zero.</t>
  </si>
  <si>
    <t>The calculated t-statistic is approximately 4.107.</t>
  </si>
  <si>
    <t>Determine the Critical Value and Make a Decision</t>
  </si>
  <si>
    <t>Significance level (𝛼) = 0.05</t>
  </si>
  <si>
    <t>Degrees of freedom (𝑑𝑓) = 𝑛−1</t>
  </si>
  <si>
    <r>
      <t xml:space="preserve">For a one-tailed (right-tailed) t-test with 𝛼=0.05 and 𝑑𝑓=5, the critical t-value from the t distribution table is approximately </t>
    </r>
    <r>
      <rPr>
        <b/>
        <sz val="11"/>
        <color theme="1"/>
        <rFont val="Calibri"/>
        <family val="2"/>
        <scheme val="minor"/>
      </rPr>
      <t>2.015.</t>
    </r>
  </si>
  <si>
    <r>
      <rPr>
        <b/>
        <sz val="11"/>
        <color theme="1"/>
        <rFont val="Calibri"/>
        <family val="2"/>
        <scheme val="minor"/>
      </rPr>
      <t>Decision Rule:</t>
    </r>
    <r>
      <rPr>
        <sz val="11"/>
        <color theme="1"/>
        <rFont val="Calibri"/>
        <family val="2"/>
        <scheme val="minor"/>
      </rPr>
      <t xml:space="preserve"> Reject H0 if the calculated t-statistic is greater than the critical t-value.</t>
    </r>
  </si>
  <si>
    <t>Calculated 𝑡-value (4.107) &gt; Critical 𝑡-value (2.015)</t>
  </si>
  <si>
    <t>Since the calculated t-statistic (4.107) is greater than the critical t-value (2.015), we reject the null hypothesis (𝐻0), and accept Alternate Hypothesis (HA).</t>
  </si>
  <si>
    <t xml:space="preserve">Hence, there is sufficient evidence at the 𝛼=0.05 significance level to conclude that the training program improved productivity.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</si>
</sst>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right"/>
    </xf>
    <xf numFmtId="0" fontId="0" fillId="0" borderId="2" xfId="0" applyBorder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5AB5F-9FEB-4B0E-81B6-0E59B96A65BB}">
  <dimension ref="A1:B9"/>
  <sheetViews>
    <sheetView workbookViewId="0">
      <selection activeCell="A7" sqref="A7:A9"/>
    </sheetView>
  </sheetViews>
  <sheetFormatPr defaultRowHeight="14.4" x14ac:dyDescent="0.3"/>
  <sheetData>
    <row r="1" spans="1:2" x14ac:dyDescent="0.3">
      <c r="A1" s="1" t="s">
        <v>0</v>
      </c>
      <c r="B1" t="s">
        <v>1</v>
      </c>
    </row>
    <row r="3" spans="1:2" x14ac:dyDescent="0.3">
      <c r="A3" s="1" t="s">
        <v>2</v>
      </c>
    </row>
    <row r="4" spans="1:2" x14ac:dyDescent="0.3">
      <c r="A4" t="s">
        <v>25</v>
      </c>
    </row>
    <row r="5" spans="1:2" x14ac:dyDescent="0.3">
      <c r="A5" t="s">
        <v>21</v>
      </c>
    </row>
    <row r="6" spans="1:2" x14ac:dyDescent="0.3">
      <c r="A6" s="1" t="s">
        <v>22</v>
      </c>
    </row>
    <row r="7" spans="1:2" x14ac:dyDescent="0.3">
      <c r="A7" t="s">
        <v>23</v>
      </c>
    </row>
    <row r="8" spans="1:2" x14ac:dyDescent="0.3">
      <c r="A8" t="s">
        <v>24</v>
      </c>
    </row>
    <row r="9" spans="1:2" x14ac:dyDescent="0.3">
      <c r="A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C556-F289-4F9F-A2CB-EB10D8A87B02}">
  <dimension ref="A1:B8"/>
  <sheetViews>
    <sheetView workbookViewId="0">
      <selection activeCell="E12" sqref="E12"/>
    </sheetView>
  </sheetViews>
  <sheetFormatPr defaultRowHeight="14.4" x14ac:dyDescent="0.3"/>
  <sheetData>
    <row r="1" spans="1:2" x14ac:dyDescent="0.3">
      <c r="A1" s="1" t="s">
        <v>0</v>
      </c>
      <c r="B1" t="s">
        <v>3</v>
      </c>
    </row>
    <row r="3" spans="1:2" x14ac:dyDescent="0.3">
      <c r="A3" s="1" t="s">
        <v>2</v>
      </c>
    </row>
    <row r="4" spans="1:2" x14ac:dyDescent="0.3">
      <c r="A4" t="s">
        <v>27</v>
      </c>
    </row>
    <row r="5" spans="1:2" x14ac:dyDescent="0.3">
      <c r="A5" t="s">
        <v>28</v>
      </c>
    </row>
    <row r="6" spans="1:2" x14ac:dyDescent="0.3">
      <c r="A6" t="s">
        <v>29</v>
      </c>
      <c r="B6" t="s">
        <v>30</v>
      </c>
    </row>
    <row r="7" spans="1:2" x14ac:dyDescent="0.3">
      <c r="A7" t="s">
        <v>31</v>
      </c>
    </row>
    <row r="8" spans="1:2" x14ac:dyDescent="0.3">
      <c r="A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30F42-AEE0-4433-B5C2-605226FF2DE1}">
  <dimension ref="A1:I15"/>
  <sheetViews>
    <sheetView workbookViewId="0">
      <selection activeCell="H18" sqref="H18"/>
    </sheetView>
  </sheetViews>
  <sheetFormatPr defaultRowHeight="14.4" x14ac:dyDescent="0.3"/>
  <sheetData>
    <row r="1" spans="1:9" x14ac:dyDescent="0.3">
      <c r="A1" s="1" t="s">
        <v>0</v>
      </c>
      <c r="B1" t="s">
        <v>4</v>
      </c>
    </row>
    <row r="3" spans="1:9" x14ac:dyDescent="0.3">
      <c r="A3" s="1" t="s">
        <v>2</v>
      </c>
    </row>
    <row r="4" spans="1:9" x14ac:dyDescent="0.3">
      <c r="A4" t="s">
        <v>33</v>
      </c>
    </row>
    <row r="6" spans="1:9" x14ac:dyDescent="0.3">
      <c r="A6" s="1" t="s">
        <v>34</v>
      </c>
    </row>
    <row r="7" spans="1:9" x14ac:dyDescent="0.3">
      <c r="A7" t="s">
        <v>35</v>
      </c>
      <c r="I7" s="5"/>
    </row>
    <row r="8" spans="1:9" x14ac:dyDescent="0.3">
      <c r="A8" t="s">
        <v>38</v>
      </c>
    </row>
    <row r="9" spans="1:9" x14ac:dyDescent="0.3">
      <c r="A9" t="s">
        <v>36</v>
      </c>
      <c r="B9" t="s">
        <v>37</v>
      </c>
    </row>
    <row r="10" spans="1:9" x14ac:dyDescent="0.3">
      <c r="A10" t="s">
        <v>43</v>
      </c>
    </row>
    <row r="11" spans="1:9" x14ac:dyDescent="0.3">
      <c r="A11" s="1" t="s">
        <v>39</v>
      </c>
    </row>
    <row r="12" spans="1:9" x14ac:dyDescent="0.3">
      <c r="A12" t="s">
        <v>40</v>
      </c>
    </row>
    <row r="13" spans="1:9" x14ac:dyDescent="0.3">
      <c r="A13" t="s">
        <v>41</v>
      </c>
    </row>
    <row r="14" spans="1:9" x14ac:dyDescent="0.3">
      <c r="A14" t="s">
        <v>29</v>
      </c>
      <c r="B14" t="s">
        <v>42</v>
      </c>
    </row>
    <row r="15" spans="1:9" x14ac:dyDescent="0.3">
      <c r="A15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F86F-F17E-4FBD-9F7E-400F6152DA5A}">
  <dimension ref="A1:B16"/>
  <sheetViews>
    <sheetView workbookViewId="0">
      <selection activeCell="F22" sqref="F22"/>
    </sheetView>
  </sheetViews>
  <sheetFormatPr defaultRowHeight="14.4" x14ac:dyDescent="0.3"/>
  <sheetData>
    <row r="1" spans="1:2" x14ac:dyDescent="0.3">
      <c r="A1" s="1" t="s">
        <v>0</v>
      </c>
      <c r="B1" t="s">
        <v>5</v>
      </c>
    </row>
    <row r="3" spans="1:2" x14ac:dyDescent="0.3">
      <c r="A3" s="1" t="s">
        <v>2</v>
      </c>
    </row>
    <row r="4" spans="1:2" x14ac:dyDescent="0.3">
      <c r="A4" t="s">
        <v>45</v>
      </c>
    </row>
    <row r="6" spans="1:2" x14ac:dyDescent="0.3">
      <c r="A6" t="s">
        <v>46</v>
      </c>
    </row>
    <row r="7" spans="1:2" x14ac:dyDescent="0.3">
      <c r="A7" t="s">
        <v>47</v>
      </c>
    </row>
    <row r="8" spans="1:2" x14ac:dyDescent="0.3">
      <c r="A8" t="s">
        <v>29</v>
      </c>
    </row>
    <row r="9" spans="1:2" x14ac:dyDescent="0.3">
      <c r="A9" t="s">
        <v>52</v>
      </c>
    </row>
    <row r="10" spans="1:2" x14ac:dyDescent="0.3">
      <c r="A10" t="s">
        <v>53</v>
      </c>
    </row>
    <row r="12" spans="1:2" x14ac:dyDescent="0.3">
      <c r="A12" t="s">
        <v>48</v>
      </c>
    </row>
    <row r="13" spans="1:2" x14ac:dyDescent="0.3">
      <c r="A13" t="s">
        <v>49</v>
      </c>
    </row>
    <row r="14" spans="1:2" x14ac:dyDescent="0.3">
      <c r="A14" t="s">
        <v>29</v>
      </c>
    </row>
    <row r="15" spans="1:2" x14ac:dyDescent="0.3">
      <c r="A15" t="s">
        <v>50</v>
      </c>
    </row>
    <row r="16" spans="1:2" x14ac:dyDescent="0.3">
      <c r="A1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D388-7993-42BC-9CDA-1A6D86BE9A0B}">
  <dimension ref="A1:N44"/>
  <sheetViews>
    <sheetView workbookViewId="0">
      <selection activeCell="A11" sqref="A11:B11"/>
    </sheetView>
  </sheetViews>
  <sheetFormatPr defaultRowHeight="14.4" x14ac:dyDescent="0.3"/>
  <sheetData>
    <row r="1" spans="1:5" x14ac:dyDescent="0.3">
      <c r="A1" s="1" t="s">
        <v>0</v>
      </c>
      <c r="B1" t="s">
        <v>6</v>
      </c>
    </row>
    <row r="3" spans="1:5" x14ac:dyDescent="0.3">
      <c r="A3" s="1" t="s">
        <v>2</v>
      </c>
    </row>
    <row r="4" spans="1:5" x14ac:dyDescent="0.3">
      <c r="A4" t="s">
        <v>54</v>
      </c>
    </row>
    <row r="5" spans="1:5" x14ac:dyDescent="0.3">
      <c r="A5" t="s">
        <v>55</v>
      </c>
      <c r="E5">
        <v>10</v>
      </c>
    </row>
    <row r="6" spans="1:5" x14ac:dyDescent="0.3">
      <c r="A6" t="s">
        <v>56</v>
      </c>
      <c r="E6">
        <v>9</v>
      </c>
    </row>
    <row r="7" spans="1:5" x14ac:dyDescent="0.3">
      <c r="A7" t="s">
        <v>57</v>
      </c>
      <c r="E7">
        <v>12</v>
      </c>
    </row>
    <row r="8" spans="1:5" x14ac:dyDescent="0.3">
      <c r="A8" t="s">
        <v>69</v>
      </c>
      <c r="E8">
        <v>3</v>
      </c>
    </row>
    <row r="9" spans="1:5" x14ac:dyDescent="0.3">
      <c r="A9" t="s">
        <v>58</v>
      </c>
      <c r="E9">
        <v>0.05</v>
      </c>
    </row>
    <row r="11" spans="1:5" x14ac:dyDescent="0.3">
      <c r="A11" s="1" t="s">
        <v>59</v>
      </c>
      <c r="B11" s="1" t="s">
        <v>60</v>
      </c>
    </row>
    <row r="12" spans="1:5" x14ac:dyDescent="0.3">
      <c r="A12" t="s">
        <v>61</v>
      </c>
    </row>
    <row r="13" spans="1:5" x14ac:dyDescent="0.3">
      <c r="A13" t="s">
        <v>84</v>
      </c>
    </row>
    <row r="15" spans="1:5" x14ac:dyDescent="0.3">
      <c r="A15" s="1" t="s">
        <v>62</v>
      </c>
      <c r="B15" s="1" t="s">
        <v>63</v>
      </c>
    </row>
    <row r="16" spans="1:5" x14ac:dyDescent="0.3">
      <c r="A16" t="s">
        <v>66</v>
      </c>
    </row>
    <row r="18" spans="1:14" x14ac:dyDescent="0.3">
      <c r="A18" s="1" t="s">
        <v>64</v>
      </c>
      <c r="B18" s="1" t="s">
        <v>65</v>
      </c>
    </row>
    <row r="19" spans="1:14" x14ac:dyDescent="0.3">
      <c r="A19" t="s">
        <v>67</v>
      </c>
      <c r="F19" s="6" t="s">
        <v>68</v>
      </c>
      <c r="G19" t="s">
        <v>72</v>
      </c>
      <c r="N19" t="s">
        <v>73</v>
      </c>
    </row>
    <row r="20" spans="1:14" x14ac:dyDescent="0.3">
      <c r="G20" s="7" t="s">
        <v>70</v>
      </c>
      <c r="H20" s="7"/>
      <c r="I20" s="7"/>
      <c r="J20" s="7" t="s">
        <v>71</v>
      </c>
      <c r="K20" s="7"/>
      <c r="N20" s="7" t="s">
        <v>74</v>
      </c>
    </row>
    <row r="22" spans="1:14" x14ac:dyDescent="0.3">
      <c r="E22" t="s">
        <v>75</v>
      </c>
      <c r="F22" s="6" t="s">
        <v>68</v>
      </c>
      <c r="G22" s="9" t="s">
        <v>76</v>
      </c>
    </row>
    <row r="23" spans="1:14" x14ac:dyDescent="0.3">
      <c r="G23" s="10" t="s">
        <v>77</v>
      </c>
    </row>
    <row r="25" spans="1:14" x14ac:dyDescent="0.3">
      <c r="F25" s="12" t="s">
        <v>68</v>
      </c>
      <c r="G25" s="11">
        <f>(E7-E5) / (E8 /(SQRT(E6)))</f>
        <v>2</v>
      </c>
    </row>
    <row r="26" spans="1:14" x14ac:dyDescent="0.3">
      <c r="A26" t="s">
        <v>78</v>
      </c>
    </row>
    <row r="28" spans="1:14" x14ac:dyDescent="0.3">
      <c r="A28" s="1" t="s">
        <v>79</v>
      </c>
      <c r="B28" s="1"/>
    </row>
    <row r="29" spans="1:14" x14ac:dyDescent="0.3">
      <c r="A29" t="s">
        <v>80</v>
      </c>
    </row>
    <row r="30" spans="1:14" x14ac:dyDescent="0.3">
      <c r="A30" t="s">
        <v>81</v>
      </c>
    </row>
    <row r="31" spans="1:14" x14ac:dyDescent="0.3">
      <c r="A31" s="6" t="s">
        <v>82</v>
      </c>
      <c r="B31" s="8" t="s">
        <v>83</v>
      </c>
      <c r="C31" s="11">
        <f>E6-1</f>
        <v>8</v>
      </c>
    </row>
    <row r="33" spans="1:2" x14ac:dyDescent="0.3">
      <c r="A33" t="s">
        <v>85</v>
      </c>
    </row>
    <row r="34" spans="1:2" x14ac:dyDescent="0.3">
      <c r="A34" t="s">
        <v>86</v>
      </c>
    </row>
    <row r="36" spans="1:2" x14ac:dyDescent="0.3">
      <c r="A36" s="1" t="s">
        <v>87</v>
      </c>
      <c r="B36" s="1" t="s">
        <v>88</v>
      </c>
    </row>
    <row r="37" spans="1:2" x14ac:dyDescent="0.3">
      <c r="A37" t="s">
        <v>89</v>
      </c>
    </row>
    <row r="38" spans="1:2" x14ac:dyDescent="0.3">
      <c r="A38" t="s">
        <v>90</v>
      </c>
    </row>
    <row r="39" spans="1:2" x14ac:dyDescent="0.3">
      <c r="A39" t="s">
        <v>91</v>
      </c>
    </row>
    <row r="41" spans="1:2" x14ac:dyDescent="0.3">
      <c r="A41" s="1" t="s">
        <v>92</v>
      </c>
      <c r="B41" s="1" t="s">
        <v>93</v>
      </c>
    </row>
    <row r="42" spans="1:2" x14ac:dyDescent="0.3">
      <c r="A42" t="s">
        <v>94</v>
      </c>
    </row>
    <row r="43" spans="1:2" x14ac:dyDescent="0.3">
      <c r="A43" t="s">
        <v>95</v>
      </c>
    </row>
    <row r="44" spans="1:2" x14ac:dyDescent="0.3">
      <c r="A44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21D50-3812-4A6B-ACCF-9771CF7A2BCB}">
  <dimension ref="A1:J7"/>
  <sheetViews>
    <sheetView workbookViewId="0">
      <selection activeCell="I8" sqref="I8"/>
    </sheetView>
  </sheetViews>
  <sheetFormatPr defaultRowHeight="14.4" x14ac:dyDescent="0.3"/>
  <sheetData>
    <row r="1" spans="1:10" x14ac:dyDescent="0.3">
      <c r="A1" s="1" t="s">
        <v>0</v>
      </c>
      <c r="B1" t="s">
        <v>7</v>
      </c>
    </row>
    <row r="3" spans="1:10" x14ac:dyDescent="0.3">
      <c r="A3" s="1" t="s">
        <v>2</v>
      </c>
    </row>
    <row r="4" spans="1:10" x14ac:dyDescent="0.3">
      <c r="A4" t="s">
        <v>97</v>
      </c>
    </row>
    <row r="5" spans="1:10" x14ac:dyDescent="0.3">
      <c r="A5" t="s">
        <v>98</v>
      </c>
    </row>
    <row r="7" spans="1:10" x14ac:dyDescent="0.3">
      <c r="J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5679-4546-4D41-894B-DF299001E384}">
  <dimension ref="A1:M68"/>
  <sheetViews>
    <sheetView tabSelected="1" workbookViewId="0">
      <selection activeCell="O11" sqref="O11"/>
    </sheetView>
  </sheetViews>
  <sheetFormatPr defaultRowHeight="14.4" x14ac:dyDescent="0.3"/>
  <cols>
    <col min="3" max="3" width="21.77734375" customWidth="1"/>
    <col min="5" max="5" width="12.5546875" customWidth="1"/>
  </cols>
  <sheetData>
    <row r="1" spans="1:4" x14ac:dyDescent="0.3">
      <c r="A1" s="1" t="s">
        <v>0</v>
      </c>
      <c r="B1" t="s">
        <v>8</v>
      </c>
    </row>
    <row r="2" spans="1:4" x14ac:dyDescent="0.3">
      <c r="B2" t="s">
        <v>9</v>
      </c>
    </row>
    <row r="3" spans="1:4" x14ac:dyDescent="0.3">
      <c r="B3" s="3" t="s">
        <v>10</v>
      </c>
      <c r="C3" s="3" t="s">
        <v>11</v>
      </c>
      <c r="D3" s="3" t="s">
        <v>12</v>
      </c>
    </row>
    <row r="4" spans="1:4" x14ac:dyDescent="0.3">
      <c r="B4" s="2">
        <v>1</v>
      </c>
      <c r="C4" s="2">
        <v>50</v>
      </c>
      <c r="D4" s="2">
        <v>55</v>
      </c>
    </row>
    <row r="5" spans="1:4" x14ac:dyDescent="0.3">
      <c r="B5" s="2">
        <v>2</v>
      </c>
      <c r="C5" s="2">
        <v>60</v>
      </c>
      <c r="D5" s="2">
        <v>65</v>
      </c>
    </row>
    <row r="6" spans="1:4" x14ac:dyDescent="0.3">
      <c r="B6" s="2">
        <v>3</v>
      </c>
      <c r="C6" s="2">
        <v>58</v>
      </c>
      <c r="D6" s="2">
        <v>59</v>
      </c>
    </row>
    <row r="7" spans="1:4" x14ac:dyDescent="0.3">
      <c r="B7" s="2">
        <v>4</v>
      </c>
      <c r="C7" s="2">
        <v>55</v>
      </c>
      <c r="D7" s="2">
        <v>58</v>
      </c>
    </row>
    <row r="8" spans="1:4" x14ac:dyDescent="0.3">
      <c r="B8" s="2">
        <v>5</v>
      </c>
      <c r="C8" s="2">
        <v>62</v>
      </c>
      <c r="D8" s="2">
        <v>63</v>
      </c>
    </row>
    <row r="9" spans="1:4" x14ac:dyDescent="0.3">
      <c r="B9" s="2">
        <v>6</v>
      </c>
      <c r="C9" s="2">
        <v>56</v>
      </c>
      <c r="D9" s="2">
        <v>59</v>
      </c>
    </row>
    <row r="11" spans="1:4" x14ac:dyDescent="0.3">
      <c r="A11" s="1" t="s">
        <v>2</v>
      </c>
    </row>
    <row r="12" spans="1:4" x14ac:dyDescent="0.3">
      <c r="A12" t="s">
        <v>54</v>
      </c>
      <c r="B12" t="s">
        <v>155</v>
      </c>
    </row>
    <row r="14" spans="1:4" x14ac:dyDescent="0.3">
      <c r="A14" s="1" t="s">
        <v>59</v>
      </c>
      <c r="B14" s="1" t="s">
        <v>60</v>
      </c>
    </row>
    <row r="15" spans="1:4" x14ac:dyDescent="0.3">
      <c r="A15" t="s">
        <v>156</v>
      </c>
    </row>
    <row r="16" spans="1:4" x14ac:dyDescent="0.3">
      <c r="A16" t="s">
        <v>157</v>
      </c>
    </row>
    <row r="18" spans="1:5" x14ac:dyDescent="0.3">
      <c r="A18" s="1" t="s">
        <v>62</v>
      </c>
      <c r="B18" s="1" t="s">
        <v>158</v>
      </c>
    </row>
    <row r="19" spans="1:5" x14ac:dyDescent="0.3">
      <c r="A19" t="s">
        <v>159</v>
      </c>
    </row>
    <row r="20" spans="1:5" x14ac:dyDescent="0.3">
      <c r="B20" s="3" t="s">
        <v>10</v>
      </c>
      <c r="C20" s="3" t="s">
        <v>11</v>
      </c>
      <c r="D20" s="3" t="s">
        <v>12</v>
      </c>
      <c r="E20" s="3" t="s">
        <v>160</v>
      </c>
    </row>
    <row r="21" spans="1:5" x14ac:dyDescent="0.3">
      <c r="B21" s="2">
        <v>1</v>
      </c>
      <c r="C21" s="2">
        <v>50</v>
      </c>
      <c r="D21" s="2">
        <v>55</v>
      </c>
      <c r="E21" s="4">
        <f t="shared" ref="E21:E26" si="0">D21-C21</f>
        <v>5</v>
      </c>
    </row>
    <row r="22" spans="1:5" x14ac:dyDescent="0.3">
      <c r="B22" s="2">
        <v>2</v>
      </c>
      <c r="C22" s="2">
        <v>60</v>
      </c>
      <c r="D22" s="2">
        <v>65</v>
      </c>
      <c r="E22" s="4">
        <f t="shared" si="0"/>
        <v>5</v>
      </c>
    </row>
    <row r="23" spans="1:5" x14ac:dyDescent="0.3">
      <c r="B23" s="2">
        <v>3</v>
      </c>
      <c r="C23" s="2">
        <v>58</v>
      </c>
      <c r="D23" s="2">
        <v>59</v>
      </c>
      <c r="E23" s="4">
        <f t="shared" si="0"/>
        <v>1</v>
      </c>
    </row>
    <row r="24" spans="1:5" x14ac:dyDescent="0.3">
      <c r="B24" s="2">
        <v>4</v>
      </c>
      <c r="C24" s="2">
        <v>55</v>
      </c>
      <c r="D24" s="2">
        <v>58</v>
      </c>
      <c r="E24" s="4">
        <f t="shared" si="0"/>
        <v>3</v>
      </c>
    </row>
    <row r="25" spans="1:5" x14ac:dyDescent="0.3">
      <c r="B25" s="2">
        <v>5</v>
      </c>
      <c r="C25" s="2">
        <v>62</v>
      </c>
      <c r="D25" s="2">
        <v>63</v>
      </c>
      <c r="E25" s="4">
        <f t="shared" si="0"/>
        <v>1</v>
      </c>
    </row>
    <row r="26" spans="1:5" x14ac:dyDescent="0.3">
      <c r="B26" s="2">
        <v>6</v>
      </c>
      <c r="C26" s="2">
        <v>56</v>
      </c>
      <c r="D26" s="2">
        <v>59</v>
      </c>
      <c r="E26" s="4">
        <f t="shared" si="0"/>
        <v>3</v>
      </c>
    </row>
    <row r="28" spans="1:5" x14ac:dyDescent="0.3">
      <c r="A28" t="s">
        <v>161</v>
      </c>
    </row>
    <row r="29" spans="1:5" x14ac:dyDescent="0.3">
      <c r="A29" t="s">
        <v>164</v>
      </c>
      <c r="C29" s="14">
        <v>6</v>
      </c>
    </row>
    <row r="30" spans="1:5" x14ac:dyDescent="0.3">
      <c r="A30" t="s">
        <v>162</v>
      </c>
      <c r="E30" s="11">
        <f>SUM(E21:E26)</f>
        <v>18</v>
      </c>
    </row>
    <row r="31" spans="1:5" x14ac:dyDescent="0.3">
      <c r="A31" t="s">
        <v>163</v>
      </c>
      <c r="E31" s="11">
        <f>E30/C29</f>
        <v>3</v>
      </c>
    </row>
    <row r="33" spans="1:13" x14ac:dyDescent="0.3">
      <c r="A33" t="s">
        <v>165</v>
      </c>
    </row>
    <row r="35" spans="1:13" x14ac:dyDescent="0.3">
      <c r="C35" s="26" t="s">
        <v>10</v>
      </c>
      <c r="D35" s="26" t="s">
        <v>166</v>
      </c>
      <c r="E35" s="26" t="s">
        <v>167</v>
      </c>
      <c r="F35" s="26" t="s">
        <v>168</v>
      </c>
    </row>
    <row r="36" spans="1:13" x14ac:dyDescent="0.3">
      <c r="C36" s="4">
        <v>1</v>
      </c>
      <c r="D36" s="4">
        <v>5</v>
      </c>
      <c r="E36" s="4">
        <f>$D36-E31</f>
        <v>2</v>
      </c>
      <c r="F36" s="4">
        <f>$E36^2</f>
        <v>4</v>
      </c>
    </row>
    <row r="37" spans="1:13" x14ac:dyDescent="0.3">
      <c r="C37" s="4">
        <v>2</v>
      </c>
      <c r="D37" s="4">
        <v>5</v>
      </c>
      <c r="E37" s="4">
        <f>D37-E31</f>
        <v>2</v>
      </c>
      <c r="F37" s="4">
        <f t="shared" ref="F37:F41" si="1">$E37^2</f>
        <v>4</v>
      </c>
    </row>
    <row r="38" spans="1:13" x14ac:dyDescent="0.3">
      <c r="C38" s="4">
        <v>3</v>
      </c>
      <c r="D38" s="4">
        <v>1</v>
      </c>
      <c r="E38" s="4">
        <f>D38-E31</f>
        <v>-2</v>
      </c>
      <c r="F38" s="4">
        <f t="shared" si="1"/>
        <v>4</v>
      </c>
    </row>
    <row r="39" spans="1:13" x14ac:dyDescent="0.3">
      <c r="C39" s="4">
        <v>4</v>
      </c>
      <c r="D39" s="4">
        <v>3</v>
      </c>
      <c r="E39" s="4">
        <f>D39-E31</f>
        <v>0</v>
      </c>
      <c r="F39" s="4">
        <f t="shared" si="1"/>
        <v>0</v>
      </c>
    </row>
    <row r="40" spans="1:13" x14ac:dyDescent="0.3">
      <c r="C40" s="4">
        <v>5</v>
      </c>
      <c r="D40" s="4">
        <v>1</v>
      </c>
      <c r="E40" s="4">
        <f>D40-E31</f>
        <v>-2</v>
      </c>
      <c r="F40" s="4">
        <f t="shared" si="1"/>
        <v>4</v>
      </c>
    </row>
    <row r="41" spans="1:13" x14ac:dyDescent="0.3">
      <c r="C41" s="4">
        <v>6</v>
      </c>
      <c r="D41" s="4">
        <v>3</v>
      </c>
      <c r="E41" s="4">
        <f>D41-E31</f>
        <v>0</v>
      </c>
      <c r="F41" s="4">
        <f t="shared" si="1"/>
        <v>0</v>
      </c>
    </row>
    <row r="42" spans="1:13" x14ac:dyDescent="0.3">
      <c r="C42" s="4" t="s">
        <v>18</v>
      </c>
      <c r="D42" s="4">
        <f>SUM(D36:D41)</f>
        <v>18</v>
      </c>
      <c r="E42" s="4"/>
      <c r="F42" s="4">
        <f>SUM(F36:F41)</f>
        <v>16</v>
      </c>
    </row>
    <row r="44" spans="1:13" x14ac:dyDescent="0.3">
      <c r="A44" t="s">
        <v>169</v>
      </c>
      <c r="E44" t="s">
        <v>170</v>
      </c>
      <c r="F44" t="s">
        <v>75</v>
      </c>
      <c r="G44" t="s">
        <v>171</v>
      </c>
      <c r="H44" t="s">
        <v>75</v>
      </c>
      <c r="I44" s="8" t="s">
        <v>172</v>
      </c>
      <c r="J44" t="s">
        <v>75</v>
      </c>
      <c r="K44" s="11">
        <f>16/5</f>
        <v>3.2</v>
      </c>
    </row>
    <row r="45" spans="1:13" x14ac:dyDescent="0.3">
      <c r="A45" t="s">
        <v>173</v>
      </c>
      <c r="I45" t="s">
        <v>75</v>
      </c>
      <c r="J45" t="s">
        <v>174</v>
      </c>
      <c r="L45" t="s">
        <v>75</v>
      </c>
      <c r="M45" s="11">
        <f>SQRT(K44)</f>
        <v>1.7888543819998317</v>
      </c>
    </row>
    <row r="47" spans="1:13" x14ac:dyDescent="0.3">
      <c r="A47" s="1" t="s">
        <v>64</v>
      </c>
      <c r="B47" s="1" t="s">
        <v>175</v>
      </c>
    </row>
    <row r="48" spans="1:13" x14ac:dyDescent="0.3">
      <c r="A48" t="s">
        <v>176</v>
      </c>
      <c r="F48" t="s">
        <v>68</v>
      </c>
      <c r="G48" s="14" t="s">
        <v>177</v>
      </c>
    </row>
    <row r="49" spans="1:9" x14ac:dyDescent="0.3">
      <c r="G49" s="10" t="s">
        <v>178</v>
      </c>
    </row>
    <row r="51" spans="1:9" x14ac:dyDescent="0.3">
      <c r="A51" t="s">
        <v>181</v>
      </c>
    </row>
    <row r="52" spans="1:9" x14ac:dyDescent="0.3">
      <c r="A52" t="s">
        <v>75</v>
      </c>
      <c r="B52">
        <v>0</v>
      </c>
      <c r="F52" t="s">
        <v>68</v>
      </c>
      <c r="G52" t="s">
        <v>179</v>
      </c>
      <c r="H52" t="s">
        <v>75</v>
      </c>
      <c r="I52" s="11">
        <f>(E31-B52)/ ((M45)/SQRT(C29))</f>
        <v>4.1079191812887457</v>
      </c>
    </row>
    <row r="53" spans="1:9" x14ac:dyDescent="0.3">
      <c r="G53" s="7" t="s">
        <v>180</v>
      </c>
    </row>
    <row r="55" spans="1:9" x14ac:dyDescent="0.3">
      <c r="A55" t="s">
        <v>182</v>
      </c>
    </row>
    <row r="57" spans="1:9" x14ac:dyDescent="0.3">
      <c r="A57" s="1" t="s">
        <v>104</v>
      </c>
      <c r="B57" s="1" t="s">
        <v>183</v>
      </c>
    </row>
    <row r="58" spans="1:9" x14ac:dyDescent="0.3">
      <c r="A58" t="s">
        <v>184</v>
      </c>
    </row>
    <row r="59" spans="1:9" x14ac:dyDescent="0.3">
      <c r="A59" t="s">
        <v>185</v>
      </c>
      <c r="D59" t="s">
        <v>75</v>
      </c>
      <c r="E59" s="8">
        <f>C29-1</f>
        <v>5</v>
      </c>
    </row>
    <row r="61" spans="1:9" x14ac:dyDescent="0.3">
      <c r="A61" t="s">
        <v>186</v>
      </c>
    </row>
    <row r="63" spans="1:9" x14ac:dyDescent="0.3">
      <c r="A63" t="s">
        <v>187</v>
      </c>
    </row>
    <row r="64" spans="1:9" x14ac:dyDescent="0.3">
      <c r="C64" t="s">
        <v>188</v>
      </c>
    </row>
    <row r="66" spans="1:2" x14ac:dyDescent="0.3">
      <c r="A66" s="1" t="s">
        <v>87</v>
      </c>
      <c r="B66" s="1" t="s">
        <v>93</v>
      </c>
    </row>
    <row r="67" spans="1:2" x14ac:dyDescent="0.3">
      <c r="A67" t="s">
        <v>189</v>
      </c>
    </row>
    <row r="68" spans="1:2" x14ac:dyDescent="0.3">
      <c r="A68" s="27" t="s">
        <v>190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0E72-D86A-4B20-ABE9-F8BC484F5470}">
  <dimension ref="A1:G86"/>
  <sheetViews>
    <sheetView topLeftCell="A62" workbookViewId="0">
      <selection activeCell="G16" sqref="G16"/>
    </sheetView>
  </sheetViews>
  <sheetFormatPr defaultRowHeight="14.4" x14ac:dyDescent="0.3"/>
  <cols>
    <col min="1" max="1" width="13.6640625" customWidth="1"/>
    <col min="3" max="3" width="11.6640625" customWidth="1"/>
    <col min="5" max="5" width="14.33203125" customWidth="1"/>
  </cols>
  <sheetData>
    <row r="1" spans="1:5" x14ac:dyDescent="0.3">
      <c r="A1" s="1" t="s">
        <v>0</v>
      </c>
      <c r="B1" t="s">
        <v>13</v>
      </c>
    </row>
    <row r="2" spans="1:5" x14ac:dyDescent="0.3">
      <c r="B2" t="s">
        <v>14</v>
      </c>
    </row>
    <row r="3" spans="1:5" x14ac:dyDescent="0.3">
      <c r="B3" s="3" t="s">
        <v>15</v>
      </c>
      <c r="C3" s="3" t="s">
        <v>16</v>
      </c>
      <c r="D3" s="3" t="s">
        <v>17</v>
      </c>
      <c r="E3" s="3" t="s">
        <v>18</v>
      </c>
    </row>
    <row r="4" spans="1:5" x14ac:dyDescent="0.3">
      <c r="B4" s="2" t="s">
        <v>19</v>
      </c>
      <c r="C4" s="2">
        <v>30</v>
      </c>
      <c r="D4" s="2">
        <v>20</v>
      </c>
      <c r="E4" s="2">
        <v>50</v>
      </c>
    </row>
    <row r="5" spans="1:5" x14ac:dyDescent="0.3">
      <c r="B5" s="2" t="s">
        <v>20</v>
      </c>
      <c r="C5" s="2">
        <v>10</v>
      </c>
      <c r="D5" s="2">
        <v>40</v>
      </c>
      <c r="E5" s="2">
        <v>50</v>
      </c>
    </row>
    <row r="6" spans="1:5" x14ac:dyDescent="0.3">
      <c r="B6" s="2" t="s">
        <v>18</v>
      </c>
      <c r="C6" s="2">
        <v>40</v>
      </c>
      <c r="D6" s="2">
        <v>60</v>
      </c>
      <c r="E6" s="2">
        <v>100</v>
      </c>
    </row>
    <row r="8" spans="1:5" x14ac:dyDescent="0.3">
      <c r="A8" s="1" t="s">
        <v>2</v>
      </c>
    </row>
    <row r="10" spans="1:5" x14ac:dyDescent="0.3">
      <c r="A10" t="s">
        <v>54</v>
      </c>
      <c r="B10" t="s">
        <v>100</v>
      </c>
    </row>
    <row r="12" spans="1:5" x14ac:dyDescent="0.3">
      <c r="A12" s="1" t="s">
        <v>59</v>
      </c>
      <c r="B12" s="1" t="s">
        <v>60</v>
      </c>
    </row>
    <row r="13" spans="1:5" x14ac:dyDescent="0.3">
      <c r="A13" t="s">
        <v>101</v>
      </c>
    </row>
    <row r="14" spans="1:5" x14ac:dyDescent="0.3">
      <c r="A14" t="s">
        <v>102</v>
      </c>
    </row>
    <row r="16" spans="1:5" x14ac:dyDescent="0.3">
      <c r="A16" s="1" t="s">
        <v>62</v>
      </c>
      <c r="B16" s="1" t="s">
        <v>63</v>
      </c>
    </row>
    <row r="17" spans="1:6" x14ac:dyDescent="0.3">
      <c r="A17" t="s">
        <v>99</v>
      </c>
    </row>
    <row r="19" spans="1:6" x14ac:dyDescent="0.3">
      <c r="A19" s="1" t="s">
        <v>64</v>
      </c>
      <c r="B19" s="1" t="s">
        <v>106</v>
      </c>
    </row>
    <row r="20" spans="1:6" x14ac:dyDescent="0.3">
      <c r="A20" t="s">
        <v>103</v>
      </c>
    </row>
    <row r="21" spans="1:6" x14ac:dyDescent="0.3">
      <c r="B21" s="3" t="s">
        <v>15</v>
      </c>
      <c r="C21" s="3" t="s">
        <v>16</v>
      </c>
      <c r="D21" s="3" t="s">
        <v>17</v>
      </c>
      <c r="E21" s="3" t="s">
        <v>18</v>
      </c>
    </row>
    <row r="22" spans="1:6" x14ac:dyDescent="0.3">
      <c r="B22" s="2" t="s">
        <v>19</v>
      </c>
      <c r="C22" s="2">
        <v>30</v>
      </c>
      <c r="D22" s="2">
        <v>20</v>
      </c>
      <c r="E22" s="2">
        <v>50</v>
      </c>
    </row>
    <row r="23" spans="1:6" x14ac:dyDescent="0.3">
      <c r="B23" s="2" t="s">
        <v>20</v>
      </c>
      <c r="C23" s="2">
        <v>10</v>
      </c>
      <c r="D23" s="2">
        <v>40</v>
      </c>
      <c r="E23" s="2">
        <v>50</v>
      </c>
    </row>
    <row r="24" spans="1:6" x14ac:dyDescent="0.3">
      <c r="B24" s="2" t="s">
        <v>18</v>
      </c>
      <c r="C24" s="2">
        <v>40</v>
      </c>
      <c r="D24" s="2">
        <v>60</v>
      </c>
      <c r="E24" s="2">
        <v>100</v>
      </c>
    </row>
    <row r="26" spans="1:6" x14ac:dyDescent="0.3">
      <c r="A26" s="1" t="s">
        <v>104</v>
      </c>
      <c r="B26" s="1" t="s">
        <v>126</v>
      </c>
    </row>
    <row r="27" spans="1:6" x14ac:dyDescent="0.3">
      <c r="A27" t="s">
        <v>105</v>
      </c>
    </row>
    <row r="28" spans="1:6" x14ac:dyDescent="0.3">
      <c r="B28" s="16"/>
      <c r="C28" s="7"/>
      <c r="D28" s="7"/>
      <c r="E28" s="7"/>
      <c r="F28" s="17"/>
    </row>
    <row r="29" spans="1:6" x14ac:dyDescent="0.3">
      <c r="B29" s="18" t="s">
        <v>107</v>
      </c>
      <c r="C29" s="14" t="s">
        <v>108</v>
      </c>
      <c r="D29" s="14" t="s">
        <v>109</v>
      </c>
      <c r="E29" s="14" t="s">
        <v>110</v>
      </c>
      <c r="F29" s="19"/>
    </row>
    <row r="30" spans="1:6" x14ac:dyDescent="0.3">
      <c r="B30" s="20"/>
      <c r="C30" s="7"/>
      <c r="D30" s="7" t="s">
        <v>111</v>
      </c>
      <c r="E30" s="7"/>
      <c r="F30" s="19"/>
    </row>
    <row r="31" spans="1:6" x14ac:dyDescent="0.3">
      <c r="B31" s="21"/>
      <c r="C31" s="22"/>
      <c r="D31" s="22"/>
      <c r="E31" s="22"/>
      <c r="F31" s="23"/>
    </row>
    <row r="33" spans="1:7" x14ac:dyDescent="0.3">
      <c r="A33" s="6" t="s">
        <v>114</v>
      </c>
      <c r="B33" s="14" t="s">
        <v>115</v>
      </c>
      <c r="C33" t="s">
        <v>116</v>
      </c>
      <c r="D33">
        <f>(E22*C24)/E24</f>
        <v>20</v>
      </c>
    </row>
    <row r="34" spans="1:7" x14ac:dyDescent="0.3">
      <c r="B34" s="10">
        <v>100</v>
      </c>
      <c r="F34" s="1" t="s">
        <v>121</v>
      </c>
    </row>
    <row r="35" spans="1:7" x14ac:dyDescent="0.3">
      <c r="F35" s="24" t="s">
        <v>114</v>
      </c>
      <c r="G35" s="4" t="s">
        <v>122</v>
      </c>
    </row>
    <row r="36" spans="1:7" x14ac:dyDescent="0.3">
      <c r="A36" s="6" t="s">
        <v>117</v>
      </c>
      <c r="B36" s="14" t="s">
        <v>118</v>
      </c>
      <c r="C36" t="s">
        <v>116</v>
      </c>
      <c r="D36">
        <f>(E22*D24)/E24</f>
        <v>30</v>
      </c>
      <c r="F36" s="24" t="s">
        <v>117</v>
      </c>
      <c r="G36" s="4" t="s">
        <v>113</v>
      </c>
    </row>
    <row r="37" spans="1:7" x14ac:dyDescent="0.3">
      <c r="B37" s="10">
        <v>100</v>
      </c>
      <c r="F37" s="24" t="s">
        <v>119</v>
      </c>
      <c r="G37" s="4" t="s">
        <v>123</v>
      </c>
    </row>
    <row r="38" spans="1:7" x14ac:dyDescent="0.3">
      <c r="F38" s="24" t="s">
        <v>120</v>
      </c>
      <c r="G38" s="4" t="s">
        <v>124</v>
      </c>
    </row>
    <row r="39" spans="1:7" x14ac:dyDescent="0.3">
      <c r="A39" s="6" t="s">
        <v>119</v>
      </c>
      <c r="B39" s="14" t="s">
        <v>115</v>
      </c>
      <c r="C39" t="s">
        <v>116</v>
      </c>
      <c r="D39">
        <f>(E23*C24)/E24</f>
        <v>20</v>
      </c>
    </row>
    <row r="40" spans="1:7" x14ac:dyDescent="0.3">
      <c r="B40" s="10">
        <v>100</v>
      </c>
    </row>
    <row r="42" spans="1:7" x14ac:dyDescent="0.3">
      <c r="A42" s="6" t="s">
        <v>120</v>
      </c>
      <c r="B42" s="14" t="s">
        <v>118</v>
      </c>
      <c r="C42" t="s">
        <v>116</v>
      </c>
      <c r="D42">
        <f>(E23*D24)/E24</f>
        <v>30</v>
      </c>
    </row>
    <row r="43" spans="1:7" x14ac:dyDescent="0.3">
      <c r="B43" s="10">
        <v>100</v>
      </c>
    </row>
    <row r="45" spans="1:7" x14ac:dyDescent="0.3">
      <c r="A45" t="s">
        <v>125</v>
      </c>
    </row>
    <row r="47" spans="1:7" x14ac:dyDescent="0.3">
      <c r="B47" s="3" t="s">
        <v>15</v>
      </c>
      <c r="C47" s="3" t="s">
        <v>16</v>
      </c>
      <c r="D47" s="3" t="s">
        <v>17</v>
      </c>
      <c r="E47" s="13"/>
    </row>
    <row r="48" spans="1:7" x14ac:dyDescent="0.3">
      <c r="B48" s="2" t="s">
        <v>19</v>
      </c>
      <c r="C48" s="2">
        <v>20</v>
      </c>
      <c r="D48" s="2">
        <v>30</v>
      </c>
      <c r="E48" s="14"/>
    </row>
    <row r="49" spans="1:6" x14ac:dyDescent="0.3">
      <c r="B49" s="2" t="s">
        <v>20</v>
      </c>
      <c r="C49" s="2">
        <v>20</v>
      </c>
      <c r="D49" s="2">
        <v>30</v>
      </c>
      <c r="E49" s="14"/>
    </row>
    <row r="50" spans="1:6" x14ac:dyDescent="0.3">
      <c r="B50" s="14"/>
      <c r="C50" s="14"/>
      <c r="D50" s="14"/>
      <c r="E50" s="14"/>
    </row>
    <row r="51" spans="1:6" x14ac:dyDescent="0.3">
      <c r="A51" s="1" t="s">
        <v>87</v>
      </c>
      <c r="B51" s="25" t="s">
        <v>127</v>
      </c>
    </row>
    <row r="52" spans="1:6" x14ac:dyDescent="0.3">
      <c r="A52" t="s">
        <v>128</v>
      </c>
    </row>
    <row r="53" spans="1:6" x14ac:dyDescent="0.3">
      <c r="B53" s="6" t="s">
        <v>129</v>
      </c>
      <c r="C53" t="s">
        <v>131</v>
      </c>
    </row>
    <row r="55" spans="1:6" x14ac:dyDescent="0.3">
      <c r="A55" t="s">
        <v>132</v>
      </c>
      <c r="B55" t="s">
        <v>133</v>
      </c>
    </row>
    <row r="56" spans="1:6" x14ac:dyDescent="0.3">
      <c r="B56" t="s">
        <v>134</v>
      </c>
    </row>
    <row r="58" spans="1:6" x14ac:dyDescent="0.3">
      <c r="A58" s="3" t="s">
        <v>15</v>
      </c>
      <c r="B58" s="3" t="s">
        <v>135</v>
      </c>
      <c r="C58" s="3" t="s">
        <v>136</v>
      </c>
      <c r="D58" s="3" t="s">
        <v>112</v>
      </c>
      <c r="E58" s="3" t="s">
        <v>130</v>
      </c>
    </row>
    <row r="59" spans="1:6" x14ac:dyDescent="0.3">
      <c r="A59" s="2" t="s">
        <v>19</v>
      </c>
      <c r="B59" s="2" t="s">
        <v>137</v>
      </c>
      <c r="C59" s="2">
        <v>30</v>
      </c>
      <c r="D59" s="2">
        <v>20</v>
      </c>
      <c r="E59" s="15">
        <f>(C59-D59)^2/D59</f>
        <v>5</v>
      </c>
    </row>
    <row r="60" spans="1:6" x14ac:dyDescent="0.3">
      <c r="A60" s="2" t="s">
        <v>19</v>
      </c>
      <c r="B60" s="2" t="s">
        <v>138</v>
      </c>
      <c r="C60" s="2">
        <v>20</v>
      </c>
      <c r="D60" s="2">
        <v>30</v>
      </c>
      <c r="E60" s="15">
        <f>(C60-D60)^2/D60</f>
        <v>3.3333333333333335</v>
      </c>
    </row>
    <row r="61" spans="1:6" x14ac:dyDescent="0.3">
      <c r="A61" s="2" t="s">
        <v>20</v>
      </c>
      <c r="B61" s="2" t="s">
        <v>137</v>
      </c>
      <c r="C61" s="2">
        <v>10</v>
      </c>
      <c r="D61" s="2">
        <v>20</v>
      </c>
      <c r="E61" s="15">
        <f>(C61-D61)^2/D61</f>
        <v>5</v>
      </c>
    </row>
    <row r="62" spans="1:6" x14ac:dyDescent="0.3">
      <c r="A62" s="2" t="s">
        <v>20</v>
      </c>
      <c r="B62" s="2" t="s">
        <v>138</v>
      </c>
      <c r="C62" s="2">
        <v>40</v>
      </c>
      <c r="D62" s="2">
        <v>30</v>
      </c>
      <c r="E62" s="15">
        <f>(C62-D62)^2/D62</f>
        <v>3.3333333333333335</v>
      </c>
    </row>
    <row r="64" spans="1:6" x14ac:dyDescent="0.3">
      <c r="A64" t="s">
        <v>139</v>
      </c>
      <c r="F64" s="11">
        <f>E59+E60+E61+E62</f>
        <v>16.666666666666668</v>
      </c>
    </row>
    <row r="66" spans="1:5" x14ac:dyDescent="0.3">
      <c r="A66" s="1" t="s">
        <v>87</v>
      </c>
      <c r="B66" s="1" t="s">
        <v>140</v>
      </c>
    </row>
    <row r="67" spans="1:5" x14ac:dyDescent="0.3">
      <c r="A67" t="s">
        <v>141</v>
      </c>
    </row>
    <row r="69" spans="1:5" x14ac:dyDescent="0.3">
      <c r="B69" s="6" t="s">
        <v>82</v>
      </c>
      <c r="C69" t="s">
        <v>142</v>
      </c>
      <c r="D69" s="6" t="s">
        <v>75</v>
      </c>
      <c r="E69" s="11">
        <f>(2-1)*(2-1)</f>
        <v>1</v>
      </c>
    </row>
    <row r="70" spans="1:5" x14ac:dyDescent="0.3">
      <c r="B70" s="12" t="s">
        <v>82</v>
      </c>
      <c r="C70" s="11">
        <v>1</v>
      </c>
    </row>
    <row r="72" spans="1:5" x14ac:dyDescent="0.3">
      <c r="A72" s="1" t="s">
        <v>143</v>
      </c>
      <c r="B72" s="1" t="s">
        <v>144</v>
      </c>
    </row>
    <row r="73" spans="1:5" x14ac:dyDescent="0.3">
      <c r="A73" t="s">
        <v>145</v>
      </c>
      <c r="C73">
        <v>0.05</v>
      </c>
    </row>
    <row r="74" spans="1:5" x14ac:dyDescent="0.3">
      <c r="A74" t="s">
        <v>146</v>
      </c>
      <c r="C74">
        <v>1</v>
      </c>
    </row>
    <row r="76" spans="1:5" x14ac:dyDescent="0.3">
      <c r="A76" t="s">
        <v>149</v>
      </c>
      <c r="B76" s="11">
        <v>3.8410000000000002</v>
      </c>
    </row>
    <row r="78" spans="1:5" x14ac:dyDescent="0.3">
      <c r="A78" s="1" t="s">
        <v>147</v>
      </c>
      <c r="B78" s="1" t="s">
        <v>88</v>
      </c>
    </row>
    <row r="79" spans="1:5" x14ac:dyDescent="0.3">
      <c r="A79" t="s">
        <v>148</v>
      </c>
      <c r="B79" s="1">
        <v>3.8410000000000002</v>
      </c>
    </row>
    <row r="80" spans="1:5" x14ac:dyDescent="0.3">
      <c r="A80" t="s">
        <v>150</v>
      </c>
      <c r="B80" s="1">
        <v>16.66667</v>
      </c>
    </row>
    <row r="82" spans="1:2" x14ac:dyDescent="0.3">
      <c r="A82" t="s">
        <v>151</v>
      </c>
    </row>
    <row r="83" spans="1:2" x14ac:dyDescent="0.3">
      <c r="A83" t="s">
        <v>152</v>
      </c>
    </row>
    <row r="85" spans="1:2" x14ac:dyDescent="0.3">
      <c r="A85" s="1" t="s">
        <v>153</v>
      </c>
      <c r="B85" s="1" t="s">
        <v>93</v>
      </c>
    </row>
    <row r="86" spans="1:2" x14ac:dyDescent="0.3">
      <c r="A8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Shirodkar</dc:creator>
  <cp:lastModifiedBy>Abhishek Shirodkar</cp:lastModifiedBy>
  <dcterms:created xsi:type="dcterms:W3CDTF">2026-01-06T15:30:57Z</dcterms:created>
  <dcterms:modified xsi:type="dcterms:W3CDTF">2026-01-09T14:07:58Z</dcterms:modified>
</cp:coreProperties>
</file>